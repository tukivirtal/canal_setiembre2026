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'Catálogo'!$A$1:$AA$52</definedName>
    <definedName name="_xlnm._FilterDatabase" localSheetId="1" hidden="1">'Shorts'!$A$1:$S$322</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12" customWidth="1" min="19" max="19"/>
    <col width="40" customWidth="1" min="20" max="20"/>
    <col width="62" customWidth="1" min="21" max="21"/>
    <col width="62" customWidth="1" min="22" max="22"/>
    <col width="13" customWidth="1" min="23" max="23"/>
    <col width="18" customWidth="1" min="24" max="24"/>
    <col width="10" customWidth="1" min="25" max="25"/>
    <col width="13" customWidth="1" min="26" max="26"/>
    <col width="14" customWidth="1" min="27" max="27"/>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pantalla_oscura_min</t>
        </is>
      </c>
      <c r="T1" s="1" t="inlineStr">
        <is>
          <t>comentario_fijado</t>
        </is>
      </c>
      <c r="U1" s="1" t="inlineStr">
        <is>
          <t>comando_regeneracion</t>
        </is>
      </c>
      <c r="V1" s="1" t="inlineStr">
        <is>
          <t>comando_ambiente</t>
        </is>
      </c>
      <c r="W1" s="1" t="inlineStr">
        <is>
          <t>estado</t>
        </is>
      </c>
      <c r="X1" s="1" t="inlineStr">
        <is>
          <t>fecha_publicacion</t>
        </is>
      </c>
      <c r="Y1" s="1" t="inlineStr">
        <is>
          <t>vistas</t>
        </is>
      </c>
      <c r="Z1" s="1" t="inlineStr">
        <is>
          <t>suscriptores</t>
        </is>
      </c>
      <c r="AA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2" t="n">
        <v>0</v>
      </c>
      <c r="T2" s="2" t="inlineStr">
        <is>
          <t>What keeps you awake at night? 🌙 Write it here and leave it with us. Then press play and let it go. A new sleep piece every week.</t>
        </is>
      </c>
      <c r="U2" s="3" t="inlineStr">
        <is>
          <t>python3 03-composicion/compositor.py --minutos 180 --raiz 432 --modo shin --semilla 505716 --caracter sin-cuenco --registro grave</t>
        </is>
      </c>
      <c r="V2" s="2" t="inlineStr">
        <is>
          <t>python3 03-composicion/ambiente.py audio/OBRA-001_432_shin.wav audio/OBRA-001_final.wav --fondo mar</t>
        </is>
      </c>
      <c r="W2" s="4" t="inlineStr">
        <is>
          <t>pendiente</t>
        </is>
      </c>
      <c r="X2" s="4" t="inlineStr"/>
      <c r="Y2" s="4" t="inlineStr"/>
      <c r="Z2" s="4" t="inlineStr"/>
      <c r="AA2" s="5">
        <f>IFERROR(Z2/Y2*1000,"")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2" t="n">
        <v>0</v>
      </c>
      <c r="T3" s="2" t="inlineStr">
        <is>
          <t>What keeps you awake at night? 🌙 Write it here and leave it with us. Then press play and let it go. A new sleep piece every week.</t>
        </is>
      </c>
      <c r="U3" s="3" t="inlineStr">
        <is>
          <t>python3 03-composicion/compositor.py --minutos 120 --raiz 528 --modo kumoi --semilla 443547 --caracter sin-cuenco --registro grave</t>
        </is>
      </c>
      <c r="V3" s="2" t="inlineStr">
        <is>
          <t>python3 03-composicion/ambiente.py audio/OBRA-002_528_kumoi.wav audio/OBRA-002_final.wav --fondo mar</t>
        </is>
      </c>
      <c r="W3" s="4" t="inlineStr">
        <is>
          <t>pendiente</t>
        </is>
      </c>
      <c r="X3" s="4" t="inlineStr"/>
      <c r="Y3" s="4" t="inlineStr"/>
      <c r="Z3" s="4" t="inlineStr"/>
      <c r="AA3" s="5">
        <f>IFERROR(Z3/Y3*1000,"")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2" t="n">
        <v>0</v>
      </c>
      <c r="T4" s="2" t="inlineStr">
        <is>
          <t>What keeps you awake at night? 🌙 Write it here and leave it with us. Then press play and let it go. A new sleep piece every week.</t>
        </is>
      </c>
      <c r="U4" s="3" t="inlineStr">
        <is>
          <t>python3 03-composicion/compositor.py --minutos 120 --raiz 396 --modo kumoi --semilla 692584 --caracter sin-cuenco --registro grave</t>
        </is>
      </c>
      <c r="V4" s="2" t="inlineStr">
        <is>
          <t>python3 03-composicion/ambiente.py audio/OBRA-003_396_kumoi.wav audio/OBRA-003_final.wav --fondo mar</t>
        </is>
      </c>
      <c r="W4" s="4" t="inlineStr">
        <is>
          <t>pendiente</t>
        </is>
      </c>
      <c r="X4" s="4" t="inlineStr"/>
      <c r="Y4" s="4" t="inlineStr"/>
      <c r="Z4" s="4" t="inlineStr"/>
      <c r="AA4" s="5">
        <f>IFERROR(Z4/Y4*1000,"")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2" t="n">
        <v>0</v>
      </c>
      <c r="T5" s="2" t="inlineStr">
        <is>
          <t>What keeps you awake at night? 🌙 Write it here and leave it with us. Then press play and let it go. A new sleep piece every week.</t>
        </is>
      </c>
      <c r="U5" s="3" t="inlineStr">
        <is>
          <t>python3 03-composicion/compositor.py --minutos 180 --raiz 528 --modo shin --semilla 751043 --caracter sin-cuenco --registro grave</t>
        </is>
      </c>
      <c r="V5" s="2" t="inlineStr">
        <is>
          <t>python3 03-composicion/ambiente.py audio/OBRA-004_528_shin.wav audio/OBRA-004_final.wav --fondo mar</t>
        </is>
      </c>
      <c r="W5" s="4" t="inlineStr">
        <is>
          <t>pendiente</t>
        </is>
      </c>
      <c r="X5" s="4" t="inlineStr"/>
      <c r="Y5" s="4" t="inlineStr"/>
      <c r="Z5" s="4" t="inlineStr"/>
      <c r="AA5" s="5">
        <f>IFERROR(Z5/Y5*1000,"")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2" t="n">
        <v>0</v>
      </c>
      <c r="T6" s="2" t="inlineStr">
        <is>
          <t>What keeps you awake at night? 🌙 Write it here and leave it with us. Then press play and let it go. A new sleep piece every week.</t>
        </is>
      </c>
      <c r="U6" s="3" t="inlineStr">
        <is>
          <t>python3 03-composicion/compositor.py --minutos 120 --raiz 432 --modo kumoi --semilla 531725 --caracter sin-cuenco --registro grave</t>
        </is>
      </c>
      <c r="V6" s="2" t="inlineStr">
        <is>
          <t>python3 03-composicion/ambiente.py audio/OBRA-005_432_kumoi.wav audio/OBRA-005_final.wav --fondo mar</t>
        </is>
      </c>
      <c r="W6" s="4" t="inlineStr">
        <is>
          <t>pendiente</t>
        </is>
      </c>
      <c r="X6" s="4" t="inlineStr"/>
      <c r="Y6" s="4" t="inlineStr"/>
      <c r="Z6" s="4" t="inlineStr"/>
      <c r="AA6" s="5">
        <f>IFERROR(Z6/Y6*1000,"")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2" t="n">
        <v>0</v>
      </c>
      <c r="T7" s="2" t="inlineStr">
        <is>
          <t>What keeps you awake at night? 🌙 Write it here and leave it with us. Then press play and let it go. A new sleep piece every week.</t>
        </is>
      </c>
      <c r="U7" s="3" t="inlineStr">
        <is>
          <t>python3 03-composicion/compositor.py --minutos 90 --raiz 417 --modo kumoi --semilla 813147 --caracter sin-cuenco --registro grave</t>
        </is>
      </c>
      <c r="V7" s="2" t="inlineStr">
        <is>
          <t>python3 03-composicion/ambiente.py audio/OBRA-006_417_kumoi.wav audio/OBRA-006_final.wav --fondo mar</t>
        </is>
      </c>
      <c r="W7" s="4" t="inlineStr">
        <is>
          <t>publicada</t>
        </is>
      </c>
      <c r="X7" s="4" t="inlineStr">
        <is>
          <t>2026-09-26</t>
        </is>
      </c>
      <c r="Y7" s="4" t="inlineStr"/>
      <c r="Z7" s="4" t="inlineStr"/>
      <c r="AA7" s="5">
        <f>IFERROR(Z7/Y7*1000,"")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2" t="n">
        <v>0</v>
      </c>
      <c r="T8" s="2" t="inlineStr">
        <is>
          <t>What keeps you awake at night? 🌙 Write it here and leave it with us. Then press play and let it go. A new sleep piece every week.</t>
        </is>
      </c>
      <c r="U8" s="3" t="inlineStr">
        <is>
          <t>python3 03-composicion/compositor.py --minutos 120 --raiz 396 --modo shin --semilla 885916 --caracter sin-cuenco --registro grave</t>
        </is>
      </c>
      <c r="V8" s="2" t="inlineStr">
        <is>
          <t>python3 03-composicion/ambiente.py audio/OBRA-007_396_shin.wav audio/OBRA-007_final.wav --fondo mar</t>
        </is>
      </c>
      <c r="W8" s="4" t="inlineStr">
        <is>
          <t>pendiente</t>
        </is>
      </c>
      <c r="X8" s="4" t="inlineStr"/>
      <c r="Y8" s="4" t="inlineStr"/>
      <c r="Z8" s="4" t="inlineStr"/>
      <c r="AA8" s="5">
        <f>IFERROR(Z8/Y8*1000,"")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2" t="n">
        <v>0</v>
      </c>
      <c r="T9" s="2" t="inlineStr">
        <is>
          <t>What keeps you awake at night? 🌙 Write it here and leave it with us. Then press play and let it go. A new sleep piece every week.</t>
        </is>
      </c>
      <c r="U9" s="3" t="inlineStr">
        <is>
          <t>python3 03-composicion/compositor.py --minutos 180 --raiz 432 --modo kumoi --semilla 295910 --caracter sin-cuenco --registro grave</t>
        </is>
      </c>
      <c r="V9" s="2" t="inlineStr">
        <is>
          <t>python3 03-composicion/ambiente.py audio/OBRA-008_432_kumoi.wav audio/OBRA-008_final.wav --fondo mar</t>
        </is>
      </c>
      <c r="W9" s="4" t="inlineStr">
        <is>
          <t>pendiente</t>
        </is>
      </c>
      <c r="X9" s="4" t="inlineStr"/>
      <c r="Y9" s="4" t="inlineStr"/>
      <c r="Z9" s="4" t="inlineStr"/>
      <c r="AA9" s="5">
        <f>IFERROR(Z9/Y9*1000,"")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2" t="n">
        <v>0</v>
      </c>
      <c r="T10" s="2" t="inlineStr">
        <is>
          <t>What's on your mind right now? 🌿 Write it here and leave it with us. Sometimes saying it is enough to set it down.</t>
        </is>
      </c>
      <c r="U10" s="3" t="inlineStr">
        <is>
          <t>python3 03-composicion/compositor.py --minutos 25 --raiz 396 --modo kumoi --semilla 555819 --caracter sin-cuenco</t>
        </is>
      </c>
      <c r="V10" s="2" t="inlineStr">
        <is>
          <t>python3 03-composicion/capas.py aves 1540 audio/OBRA-009_capa.wav --semilla 555819 --raiz 396 &amp;&amp; python3 03-composicion/ambiente.py audio/OBRA-009_396_kumoi.wav audio/OBRA-009_final.wav --fondo mar --nivel-capa -4 --capa audio/OBRA-009_capa.wav</t>
        </is>
      </c>
      <c r="W10" s="4" t="inlineStr">
        <is>
          <t>pendiente</t>
        </is>
      </c>
      <c r="X10" s="4" t="inlineStr"/>
      <c r="Y10" s="4" t="inlineStr"/>
      <c r="Z10" s="4" t="inlineStr"/>
      <c r="AA10" s="5">
        <f>IFERROR(Z10/Y10*1000,"")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2" t="n">
        <v>0</v>
      </c>
      <c r="T11" s="2" t="inlineStr">
        <is>
          <t>What's on your mind right now? 🌿 Write it here and leave it with us. Sometimes saying it is enough to set it down.</t>
        </is>
      </c>
      <c r="U11" s="3" t="inlineStr">
        <is>
          <t>python3 03-composicion/compositor.py --minutos 30 --raiz 432 --modo hirajoshi --semilla 739461 --caracter sin-cuenco</t>
        </is>
      </c>
      <c r="V11" s="2" t="inlineStr">
        <is>
          <t>python3 03-composicion/capas.py zen 1840 audio/OBRA-010_capa.wav --semilla 739461 --raiz 432 --densidad 1.4 &amp;&amp; python3 03-composicion/ambiente.py audio/OBRA-010_432_hirajoshi.wav audio/OBRA-010_final.wav --fondo mar --nivel-fondo -12 --nivel-capa 2 --nivel-obra -23 --capa audio/OBRA-010_capa.wav</t>
        </is>
      </c>
      <c r="W11" s="4" t="inlineStr">
        <is>
          <t>pendiente</t>
        </is>
      </c>
      <c r="X11" s="4" t="inlineStr"/>
      <c r="Y11" s="4" t="inlineStr"/>
      <c r="Z11" s="4" t="inlineStr"/>
      <c r="AA11" s="5">
        <f>IFERROR(Z11/Y11*1000,"")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2" t="n">
        <v>0</v>
      </c>
      <c r="T12" s="2" t="inlineStr">
        <is>
          <t>What's on your mind right now? 🌿 Write it here and leave it with us. Sometimes saying it is enough to set it down.</t>
        </is>
      </c>
      <c r="U12" s="3" t="inlineStr">
        <is>
          <t>python3 03-composicion/compositor.py --minutos 20 --raiz 528 --modo hirajoshi --semilla 913368 --caracter sin-cuenco</t>
        </is>
      </c>
      <c r="V12" s="2" t="inlineStr">
        <is>
          <t>python3 03-composicion/capas.py aves 1240 audio/OBRA-011_capa.wav --semilla 913368 --raiz 528 &amp;&amp; python3 03-composicion/ambiente.py audio/OBRA-011_528_hirajoshi.wav audio/OBRA-011_final.wav --fondo mar --nivel-capa -4 --capa audio/OBRA-011_capa.wav</t>
        </is>
      </c>
      <c r="W12" s="4" t="inlineStr">
        <is>
          <t>pendiente</t>
        </is>
      </c>
      <c r="X12" s="4" t="inlineStr"/>
      <c r="Y12" s="4" t="inlineStr"/>
      <c r="Z12" s="4" t="inlineStr"/>
      <c r="AA12" s="5">
        <f>IFERROR(Z12/Y12*1000,"")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2" t="n">
        <v>0</v>
      </c>
      <c r="T13" s="2" t="inlineStr">
        <is>
          <t>What's on your mind right now? 🌿 Write it here and leave it with us. Sometimes saying it is enough to set it down.</t>
        </is>
      </c>
      <c r="U13" s="3" t="inlineStr">
        <is>
          <t>python3 03-composicion/compositor.py --minutos 10 --raiz 528 --modo shin --semilla 43734 --caracter sin-cuenco</t>
        </is>
      </c>
      <c r="V13" s="2" t="inlineStr">
        <is>
          <t>python3 03-composicion/capas.py zen 640 audio/OBRA-012_capa.wav --semilla 43734 --raiz 528 --densidad 1.4 &amp;&amp; python3 03-composicion/ambiente.py audio/OBRA-012_528_shin.wav audio/OBRA-012_final.wav --fondo mar --nivel-fondo -12 --nivel-capa 2 --nivel-obra -23 --capa audio/OBRA-012_capa.wav</t>
        </is>
      </c>
      <c r="W13" s="4" t="inlineStr">
        <is>
          <t>publicada</t>
        </is>
      </c>
      <c r="X13" s="4" t="inlineStr">
        <is>
          <t>2026-09-23</t>
        </is>
      </c>
      <c r="Y13" s="4" t="inlineStr"/>
      <c r="Z13" s="4" t="inlineStr"/>
      <c r="AA13" s="5">
        <f>IFERROR(Z13/Y13*1000,"")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2" t="n">
        <v>0</v>
      </c>
      <c r="T14" s="2" t="inlineStr">
        <is>
          <t>What's on your mind right now? 🌿 Write it here and leave it with us. Sometimes saying it is enough to set it down.</t>
        </is>
      </c>
      <c r="U14" s="3" t="inlineStr">
        <is>
          <t>python3 03-composicion/compositor.py --minutos 20 --raiz 432 --modo hirajoshi --semilla 627771 --caracter sin-cuenco</t>
        </is>
      </c>
      <c r="V14" s="2" t="inlineStr">
        <is>
          <t>python3 03-composicion/capas.py aves 1240 audio/OBRA-013_capa.wav --semilla 627771 --raiz 432 &amp;&amp; python3 03-composicion/ambiente.py audio/OBRA-013_432_hirajoshi.wav audio/OBRA-013_final.wav --fondo mar --nivel-capa -4 --capa audio/OBRA-013_capa.wav</t>
        </is>
      </c>
      <c r="W14" s="4" t="inlineStr">
        <is>
          <t>pendiente</t>
        </is>
      </c>
      <c r="X14" s="4" t="inlineStr"/>
      <c r="Y14" s="4" t="inlineStr"/>
      <c r="Z14" s="4" t="inlineStr"/>
      <c r="AA14" s="5">
        <f>IFERROR(Z14/Y14*1000,"")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2" t="n">
        <v>0</v>
      </c>
      <c r="T15" s="2" t="inlineStr">
        <is>
          <t>What's on your mind right now? 🌿 Write it here and leave it with us. Sometimes saying it is enough to set it down.</t>
        </is>
      </c>
      <c r="U15" s="3" t="inlineStr">
        <is>
          <t>python3 03-composicion/compositor.py --minutos 20 --raiz 528 --modo yo --semilla 310137 --caracter sin-cuenco</t>
        </is>
      </c>
      <c r="V15" s="2" t="inlineStr">
        <is>
          <t>python3 03-composicion/capas.py zen 1240 audio/OBRA-014_capa.wav --semilla 310137 --raiz 528 --densidad 1.4 &amp;&amp; python3 03-composicion/ambiente.py audio/OBRA-014_528_yo.wav audio/OBRA-014_final.wav --fondo mar --nivel-fondo -12 --nivel-capa 2 --nivel-obra -23 --capa audio/OBRA-014_capa.wav</t>
        </is>
      </c>
      <c r="W15" s="4" t="inlineStr">
        <is>
          <t>pendiente</t>
        </is>
      </c>
      <c r="X15" s="4" t="inlineStr"/>
      <c r="Y15" s="4" t="inlineStr"/>
      <c r="Z15" s="4" t="inlineStr"/>
      <c r="AA15" s="5">
        <f>IFERROR(Z15/Y15*1000,"")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2" t="n">
        <v>0</v>
      </c>
      <c r="T16" s="2" t="inlineStr">
        <is>
          <t>What's on your mind right now? 🌿 Write it here and leave it with us. Sometimes saying it is enough to set it down.</t>
        </is>
      </c>
      <c r="U16" s="3" t="inlineStr">
        <is>
          <t>python3 03-composicion/compositor.py --minutos 15 --raiz 639 --modo yo --semilla 592463 --caracter sin-cuenco</t>
        </is>
      </c>
      <c r="V16" s="2" t="inlineStr">
        <is>
          <t>python3 03-composicion/capas.py aves 940 audio/OBRA-015_capa.wav --semilla 592463 --raiz 639 &amp;&amp; python3 03-composicion/ambiente.py audio/OBRA-015_639_yo.wav audio/OBRA-015_final.wav --fondo mar --nivel-capa -4 --capa audio/OBRA-015_capa.wav</t>
        </is>
      </c>
      <c r="W16" s="4" t="inlineStr">
        <is>
          <t>publicada</t>
        </is>
      </c>
      <c r="X16" s="4" t="inlineStr">
        <is>
          <t>2026-09-23</t>
        </is>
      </c>
      <c r="Y16" s="4" t="inlineStr"/>
      <c r="Z16" s="4" t="inlineStr"/>
      <c r="AA16" s="5">
        <f>IFERROR(Z16/Y16*1000,"")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2" t="n">
        <v>0</v>
      </c>
      <c r="T17" s="2" t="inlineStr">
        <is>
          <t>What's on your mind right now? 🌿 Write it here and leave it with us. Sometimes saying it is enough to set it down.</t>
        </is>
      </c>
      <c r="U17" s="3" t="inlineStr">
        <is>
          <t>python3 03-composicion/compositor.py --minutos 30 --raiz 417 --modo kumoi --semilla 250697 --caracter sin-cuenco</t>
        </is>
      </c>
      <c r="V17" s="2" t="inlineStr">
        <is>
          <t>python3 03-composicion/capas.py ancestral 1840 audio/OBRA-016_capa.wav --semilla 250697 --raiz 417 &amp;&amp; python3 03-composicion/ambiente.py audio/OBRA-016_417_kumoi.wav audio/OBRA-016_final.wav --fondo fuego --nivel-capa 0 --nivel-obra -20 --capa audio/OBRA-016_capa.wav</t>
        </is>
      </c>
      <c r="W17" s="4" t="inlineStr">
        <is>
          <t>pendiente</t>
        </is>
      </c>
      <c r="X17" s="4" t="inlineStr"/>
      <c r="Y17" s="4" t="inlineStr"/>
      <c r="Z17" s="4" t="inlineStr"/>
      <c r="AA17" s="5">
        <f>IFERROR(Z17/Y17*1000,"")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2" t="n">
        <v>0</v>
      </c>
      <c r="T18" s="2" t="inlineStr">
        <is>
          <t>Where are you listening from today? 🌿 A new piece every week.</t>
        </is>
      </c>
      <c r="U18" s="3" t="inlineStr">
        <is>
          <t>python3 03-composicion/compositor.py --minutos 45 --raiz 417 --modo hirajoshi --semilla 714152 --caracter sin-cuenco</t>
        </is>
      </c>
      <c r="V18" s="2" t="inlineStr">
        <is>
          <t>python3 03-composicion/capas.py zen 2740 audio/OBRA-017_capa.wav --semilla 714152 --raiz 417 --densidad 1.4 &amp;&amp; python3 03-composicion/ambiente.py audio/OBRA-017_417_hirajoshi.wav audio/OBRA-017_final.wav --fondo mar --nivel-fondo -12 --nivel-capa 2 --nivel-obra -23 --capa audio/OBRA-017_capa.wav</t>
        </is>
      </c>
      <c r="W18" s="4" t="inlineStr">
        <is>
          <t>pendiente</t>
        </is>
      </c>
      <c r="X18" s="4" t="inlineStr"/>
      <c r="Y18" s="4" t="inlineStr"/>
      <c r="Z18" s="4" t="inlineStr"/>
      <c r="AA18" s="5">
        <f>IFERROR(Z18/Y18*1000,"")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2" t="n">
        <v>0</v>
      </c>
      <c r="T19" s="2" t="inlineStr">
        <is>
          <t>Where are you listening from today? 🌿 A new piece every week.</t>
        </is>
      </c>
      <c r="U19" s="3" t="inlineStr">
        <is>
          <t>python3 03-composicion/compositor.py --minutos 45 --raiz 528 --modo hirajoshi --semilla 735455 --caracter sin-cuenco</t>
        </is>
      </c>
      <c r="V19" s="2" t="inlineStr">
        <is>
          <t>python3 03-composicion/capas.py zen 2740 audio/OBRA-018_capa.wav --semilla 735455 --raiz 528 --densidad 1.4 &amp;&amp; python3 03-composicion/ambiente.py audio/OBRA-018_528_hirajoshi.wav audio/OBRA-018_final.wav --fondo mar --nivel-fondo -12 --nivel-capa 2 --nivel-obra -23 --capa audio/OBRA-018_capa.wav</t>
        </is>
      </c>
      <c r="W19" s="4" t="inlineStr">
        <is>
          <t>pendiente</t>
        </is>
      </c>
      <c r="X19" s="4" t="inlineStr"/>
      <c r="Y19" s="4" t="inlineStr"/>
      <c r="Z19" s="4" t="inlineStr"/>
      <c r="AA19" s="5">
        <f>IFERROR(Z19/Y19*1000,"")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2" t="n">
        <v>0</v>
      </c>
      <c r="T20" s="2" t="inlineStr">
        <is>
          <t>Where are you listening from today? 🌿 A new piece every week.</t>
        </is>
      </c>
      <c r="U20" s="3" t="inlineStr">
        <is>
          <t>python3 03-composicion/compositor.py --minutos 60 --raiz 432 --modo shin --semilla 627577 --caracter sin-cuenco</t>
        </is>
      </c>
      <c r="V20" s="2" t="inlineStr">
        <is>
          <t>python3 03-composicion/capas.py zen 3640 audio/OBRA-019_capa.wav --semilla 627577 --raiz 432 --densidad 1.4 &amp;&amp; python3 03-composicion/ambiente.py audio/OBRA-019_432_shin.wav audio/OBRA-019_final.wav --fondo mar --nivel-fondo -12 --nivel-capa 2 --nivel-obra -23 --capa audio/OBRA-019_capa.wav</t>
        </is>
      </c>
      <c r="W20" s="4" t="inlineStr">
        <is>
          <t>pendiente</t>
        </is>
      </c>
      <c r="X20" s="4" t="inlineStr"/>
      <c r="Y20" s="4" t="inlineStr"/>
      <c r="Z20" s="4" t="inlineStr"/>
      <c r="AA20" s="5">
        <f>IFERROR(Z20/Y20*1000,"")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2" t="n">
        <v>0</v>
      </c>
      <c r="T21" s="2" t="inlineStr">
        <is>
          <t>Where are you listening from today? 🌿 A new piece every week.</t>
        </is>
      </c>
      <c r="U21" s="3" t="inlineStr">
        <is>
          <t>python3 03-composicion/compositor.py --minutos 30 --raiz 528 --modo shin --semilla 632595 --caracter sin-cuenco</t>
        </is>
      </c>
      <c r="V21" s="2" t="inlineStr">
        <is>
          <t>python3 03-composicion/capas.py ancestral 1840 audio/OBRA-020_capa.wav --semilla 632595 --raiz 528 &amp;&amp; python3 03-composicion/ambiente.py audio/OBRA-020_528_shin.wav audio/OBRA-020_final.wav --fondo fuego --nivel-capa 0 --nivel-obra -20 --capa audio/OBRA-020_capa.wav</t>
        </is>
      </c>
      <c r="W21" s="4" t="inlineStr">
        <is>
          <t>publicada</t>
        </is>
      </c>
      <c r="X21" s="4" t="inlineStr">
        <is>
          <t>2026-09-24</t>
        </is>
      </c>
      <c r="Y21" s="4" t="inlineStr"/>
      <c r="Z21" s="4" t="inlineStr"/>
      <c r="AA21" s="5">
        <f>IFERROR(Z21/Y21*1000,"")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2" t="n">
        <v>0</v>
      </c>
      <c r="T22" s="2" t="inlineStr">
        <is>
          <t>Where are you listening from today? 🌿 A new piece every week.</t>
        </is>
      </c>
      <c r="U22" s="3" t="inlineStr">
        <is>
          <t>python3 03-composicion/compositor.py --minutos 45 --raiz 396 --modo kumoi --semilla 864630 --caracter sin-cuenco</t>
        </is>
      </c>
      <c r="V22" s="2" t="inlineStr">
        <is>
          <t>python3 03-composicion/capas.py zen 2740 audio/OBRA-021_capa.wav --semilla 864630 --raiz 396 --densidad 1.4 &amp;&amp; python3 03-composicion/ambiente.py audio/OBRA-021_396_kumoi.wav audio/OBRA-021_final.wav --fondo mar --nivel-fondo -12 --nivel-capa 2 --nivel-obra -23 --capa audio/OBRA-021_capa.wav</t>
        </is>
      </c>
      <c r="W22" s="4" t="inlineStr">
        <is>
          <t>pendiente</t>
        </is>
      </c>
      <c r="X22" s="4" t="inlineStr"/>
      <c r="Y22" s="4" t="inlineStr"/>
      <c r="Z22" s="4" t="inlineStr"/>
      <c r="AA22" s="5">
        <f>IFERROR(Z22/Y22*1000,"")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2" t="n">
        <v>0</v>
      </c>
      <c r="T23" s="2" t="inlineStr">
        <is>
          <t>Where are you listening from today? 🌿 A new piece every week.</t>
        </is>
      </c>
      <c r="U23" s="3" t="inlineStr">
        <is>
          <t>python3 03-composicion/compositor.py --minutos 60 --raiz 639 --modo yo --semilla 335798 --caracter sin-cuenco</t>
        </is>
      </c>
      <c r="V23" s="2" t="inlineStr">
        <is>
          <t>python3 03-composicion/capas.py zen 3640 audio/OBRA-022_capa.wav --semilla 335798 --raiz 639 --densidad 1.4 &amp;&amp; python3 03-composicion/ambiente.py audio/OBRA-022_639_yo.wav audio/OBRA-022_final.wav --fondo mar --nivel-fondo -12 --nivel-capa 2 --nivel-obra -23 --capa audio/OBRA-022_capa.wav</t>
        </is>
      </c>
      <c r="W23" s="4" t="inlineStr">
        <is>
          <t>pendiente</t>
        </is>
      </c>
      <c r="X23" s="4" t="inlineStr"/>
      <c r="Y23" s="4" t="inlineStr"/>
      <c r="Z23" s="4" t="inlineStr"/>
      <c r="AA23" s="5">
        <f>IFERROR(Z23/Y23*1000,"")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2" t="n">
        <v>0</v>
      </c>
      <c r="T24" s="2" t="inlineStr">
        <is>
          <t>Where are you listening from today? 🌿 A new piece every week.</t>
        </is>
      </c>
      <c r="U24" s="3" t="inlineStr">
        <is>
          <t>python3 03-composicion/compositor.py --minutos 20 --raiz 528 --modo shin --semilla 299306 --caracter sin-cuenco</t>
        </is>
      </c>
      <c r="V24" s="2" t="inlineStr">
        <is>
          <t>python3 03-composicion/capas.py zen 1240 audio/OBRA-023_capa.wav --semilla 299306 --raiz 528 --densidad 1.4 &amp;&amp; python3 03-composicion/ambiente.py audio/OBRA-023_528_shin.wav audio/OBRA-023_final.wav --fondo mar --nivel-fondo -12 --nivel-capa 2 --nivel-obra -23 --capa audio/OBRA-023_capa.wav</t>
        </is>
      </c>
      <c r="W24" s="4" t="inlineStr">
        <is>
          <t>pendiente</t>
        </is>
      </c>
      <c r="X24" s="4" t="inlineStr"/>
      <c r="Y24" s="4" t="inlineStr"/>
      <c r="Z24" s="4" t="inlineStr"/>
      <c r="AA24" s="5">
        <f>IFERROR(Z24/Y24*1000,"")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2" t="n">
        <v>0</v>
      </c>
      <c r="T25" s="2" t="inlineStr">
        <is>
          <t>Where are you listening from today? 🌿 A new piece every week.</t>
        </is>
      </c>
      <c r="U25" s="3" t="inlineStr">
        <is>
          <t>python3 03-composicion/compositor.py --minutos 60 --raiz 432 --modo kumoi --semilla 926202 --caracter sin-cuenco</t>
        </is>
      </c>
      <c r="V25" s="2" t="inlineStr">
        <is>
          <t>python3 03-composicion/capas.py ancestral 3640 audio/OBRA-024_capa.wav --semilla 926202 --raiz 432 &amp;&amp; python3 03-composicion/ambiente.py audio/OBRA-024_432_kumoi.wav audio/OBRA-024_final.wav --fondo fuego --nivel-capa 0 --nivel-obra -20 --capa audio/OBRA-024_capa.wav</t>
        </is>
      </c>
      <c r="W25" s="4" t="inlineStr">
        <is>
          <t>pendiente</t>
        </is>
      </c>
      <c r="X25" s="4" t="inlineStr"/>
      <c r="Y25" s="4" t="inlineStr"/>
      <c r="Z25" s="4" t="inlineStr"/>
      <c r="AA25" s="5">
        <f>IFERROR(Z25/Y25*1000,"")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2" t="n">
        <v>0</v>
      </c>
      <c r="T26" s="2" t="inlineStr">
        <is>
          <t>What are you letting go of today? 🌿 Write one word.</t>
        </is>
      </c>
      <c r="U26" s="3" t="inlineStr">
        <is>
          <t>python3 03-composicion/compositor.py --minutos 60 --raiz 528 --modo hirajoshi --semilla 454078 --caracter sin-cuenco</t>
        </is>
      </c>
      <c r="V26" s="2" t="inlineStr">
        <is>
          <t>python3 03-composicion/capas.py aves 3640 audio/OBRA-025_capa.wav --semilla 454078 --raiz 528 &amp;&amp; python3 03-composicion/ambiente.py audio/OBRA-025_528_hirajoshi.wav audio/OBRA-025_final.wav --fondo mar --nivel-capa -4 --capa audio/OBRA-025_capa.wav</t>
        </is>
      </c>
      <c r="W26" s="4" t="inlineStr">
        <is>
          <t>pendiente</t>
        </is>
      </c>
      <c r="X26" s="4" t="inlineStr"/>
      <c r="Y26" s="4" t="inlineStr"/>
      <c r="Z26" s="4" t="inlineStr"/>
      <c r="AA26" s="5">
        <f>IFERROR(Z26/Y26*1000,"")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2" t="n">
        <v>0</v>
      </c>
      <c r="T27" s="2" t="inlineStr">
        <is>
          <t>What are you letting go of today? 🌿 Write one word.</t>
        </is>
      </c>
      <c r="U27" s="3" t="inlineStr">
        <is>
          <t>python3 03-composicion/compositor.py --minutos 60 --raiz 432 --modo kumoi --semilla 146597 --caracter sin-cuenco</t>
        </is>
      </c>
      <c r="V27" s="2" t="inlineStr">
        <is>
          <t>python3 03-composicion/ambiente.py audio/OBRA-026_432_kumoi.wav audio/OBRA-026_final.wav --fondo mar</t>
        </is>
      </c>
      <c r="W27" s="4" t="inlineStr">
        <is>
          <t>pendiente</t>
        </is>
      </c>
      <c r="X27" s="4" t="inlineStr"/>
      <c r="Y27" s="4" t="inlineStr"/>
      <c r="Z27" s="4" t="inlineStr"/>
      <c r="AA27" s="5">
        <f>IFERROR(Z27/Y27*1000,"")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2" t="n">
        <v>0</v>
      </c>
      <c r="T28" s="2" t="inlineStr">
        <is>
          <t>What are you letting go of today? 🌿 Write one word.</t>
        </is>
      </c>
      <c r="U28" s="3" t="inlineStr">
        <is>
          <t>python3 03-composicion/compositor.py --minutos 60 --raiz 396 --modo kumoi --semilla 338018 --caracter sin-cuenco</t>
        </is>
      </c>
      <c r="V28" s="2" t="inlineStr">
        <is>
          <t>python3 03-composicion/capas.py ancestral 3640 audio/OBRA-027_capa.wav --semilla 338018 --raiz 396 &amp;&amp; python3 03-composicion/ambiente.py audio/OBRA-027_396_kumoi.wav audio/OBRA-027_final.wav --fondo fuego --nivel-capa 0 --nivel-obra -20 --capa audio/OBRA-027_capa.wav</t>
        </is>
      </c>
      <c r="W28" s="4" t="inlineStr">
        <is>
          <t>pendiente</t>
        </is>
      </c>
      <c r="X28" s="4" t="inlineStr"/>
      <c r="Y28" s="4" t="inlineStr"/>
      <c r="Z28" s="4" t="inlineStr"/>
      <c r="AA28" s="5">
        <f>IFERROR(Z28/Y28*1000,"")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2" t="n">
        <v>0</v>
      </c>
      <c r="T29" s="2" t="inlineStr">
        <is>
          <t>What are you letting go of today? 🌿 Write one word.</t>
        </is>
      </c>
      <c r="U29" s="3" t="inlineStr">
        <is>
          <t>python3 03-composicion/compositor.py --minutos 45 --raiz 417 --modo hirajoshi --semilla 409966 --caracter sin-cuenco</t>
        </is>
      </c>
      <c r="V29" s="2" t="inlineStr">
        <is>
          <t>python3 03-composicion/capas.py zen 2740 audio/OBRA-028_capa.wav --semilla 409966 --raiz 417 --densidad 1.4 &amp;&amp; python3 03-composicion/ambiente.py audio/OBRA-028_417_hirajoshi.wav audio/OBRA-028_final.wav --fondo mar --nivel-fondo -12 --nivel-capa 2 --nivel-obra -23 --capa audio/OBRA-028_capa.wav</t>
        </is>
      </c>
      <c r="W29" s="4" t="inlineStr">
        <is>
          <t>pendiente</t>
        </is>
      </c>
      <c r="X29" s="4" t="inlineStr"/>
      <c r="Y29" s="4" t="inlineStr"/>
      <c r="Z29" s="4" t="inlineStr"/>
      <c r="AA29" s="5">
        <f>IFERROR(Z29/Y29*1000,"")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2" t="n">
        <v>0</v>
      </c>
      <c r="T30" s="2" t="inlineStr">
        <is>
          <t>What are you letting go of today? 🌿 Write one word.</t>
        </is>
      </c>
      <c r="U30" s="3" t="inlineStr">
        <is>
          <t>python3 03-composicion/compositor.py --minutos 60 --raiz 639 --modo yo --semilla 133046 --caracter sin-cuenco</t>
        </is>
      </c>
      <c r="V30" s="2" t="inlineStr">
        <is>
          <t>python3 03-composicion/capas.py aves 3640 audio/OBRA-029_capa.wav --semilla 133046 --raiz 639 --densidad 2 &amp;&amp; python3 03-composicion/ambiente.py audio/OBRA-029_639_yo.wav audio/OBRA-029_final.wav --fondo selva --nivel-capa -2 --capa audio/OBRA-029_capa.wav</t>
        </is>
      </c>
      <c r="W30" s="4" t="inlineStr">
        <is>
          <t>pendiente</t>
        </is>
      </c>
      <c r="X30" s="4" t="inlineStr"/>
      <c r="Y30" s="4" t="inlineStr"/>
      <c r="Z30" s="4" t="inlineStr"/>
      <c r="AA30" s="5">
        <f>IFERROR(Z30/Y30*1000,"")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2" t="n">
        <v>0</v>
      </c>
      <c r="T31" s="2" t="inlineStr">
        <is>
          <t>What are you letting go of today? 🌿 Write one word.</t>
        </is>
      </c>
      <c r="U31" s="3" t="inlineStr">
        <is>
          <t>python3 03-composicion/compositor.py --minutos 45 --raiz 741 --modo yo --semilla 244487 --caracter sin-cuenco</t>
        </is>
      </c>
      <c r="V31" s="2" t="inlineStr">
        <is>
          <t>python3 03-composicion/capas.py aves 2740 audio/OBRA-030_capa.wav --semilla 244487 --raiz 741 &amp;&amp; python3 03-composicion/ambiente.py audio/OBRA-030_741_yo.wav audio/OBRA-030_final.wav --fondo mar --nivel-capa -4 --capa audio/OBRA-030_capa.wav</t>
        </is>
      </c>
      <c r="W31" s="4" t="inlineStr">
        <is>
          <t>pendiente</t>
        </is>
      </c>
      <c r="X31" s="4" t="inlineStr"/>
      <c r="Y31" s="4" t="inlineStr"/>
      <c r="Z31" s="4" t="inlineStr"/>
      <c r="AA31" s="5">
        <f>IFERROR(Z31/Y31*1000,"")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2" t="n">
        <v>0</v>
      </c>
      <c r="T32" s="2" t="inlineStr">
        <is>
          <t>What are you letting go of today? 🌿 Write one word.</t>
        </is>
      </c>
      <c r="U32" s="3" t="inlineStr">
        <is>
          <t>python3 03-composicion/compositor.py --minutos 45 --raiz 852 --modo hirajoshi --semilla 288169 --caracter sin-cuenco</t>
        </is>
      </c>
      <c r="V32" s="2" t="inlineStr">
        <is>
          <t>python3 03-composicion/capas.py zen 2740 audio/OBRA-031_capa.wav --semilla 288169 --raiz 852 --densidad 1.4 &amp;&amp; python3 03-composicion/ambiente.py audio/OBRA-031_852_hirajoshi.wav audio/OBRA-031_final.wav --fondo mar --nivel-fondo -12 --nivel-capa 2 --nivel-obra -23 --capa audio/OBRA-031_capa.wav</t>
        </is>
      </c>
      <c r="W32" s="4" t="inlineStr">
        <is>
          <t>pendiente</t>
        </is>
      </c>
      <c r="X32" s="4" t="inlineStr"/>
      <c r="Y32" s="4" t="inlineStr"/>
      <c r="Z32" s="4" t="inlineStr"/>
      <c r="AA32" s="5">
        <f>IFERROR(Z32/Y32*1000,"")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2" t="n">
        <v>0</v>
      </c>
      <c r="T33" s="2" t="inlineStr">
        <is>
          <t>What are you letting go of today? 🌿 Write one word.</t>
        </is>
      </c>
      <c r="U33" s="3" t="inlineStr">
        <is>
          <t>python3 03-composicion/compositor.py --minutos 180 --raiz 528 --modo hirajoshi --semilla 638156 --caracter sin-cuenco</t>
        </is>
      </c>
      <c r="V33" s="2" t="inlineStr">
        <is>
          <t>python3 03-composicion/capas.py aves 10840 audio/OBRA-032_capa.wav --semilla 638156 --raiz 528 &amp;&amp; python3 03-composicion/ambiente.py audio/OBRA-032_528_hirajoshi.wav audio/OBRA-032_final.wav --fondo mar --nivel-capa -4 --capa audio/OBRA-032_capa.wav</t>
        </is>
      </c>
      <c r="W33" s="4" t="inlineStr">
        <is>
          <t>pendiente</t>
        </is>
      </c>
      <c r="X33" s="4" t="inlineStr"/>
      <c r="Y33" s="4" t="inlineStr"/>
      <c r="Z33" s="4" t="inlineStr"/>
      <c r="AA33" s="5">
        <f>IFERROR(Z33/Y33*1000,"")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2" t="n">
        <v>0</v>
      </c>
      <c r="T34" s="2" t="inlineStr">
        <is>
          <t>What are you working on? ✍️ Tell us, and we'll keep you company.</t>
        </is>
      </c>
      <c r="U34" s="3" t="inlineStr">
        <is>
          <t>python3 03-composicion/compositor.py --minutos 120 --raiz 639 --modo yo --semilla 112334 --caracter sin-cuenco --registro grave</t>
        </is>
      </c>
      <c r="V34" s="2" t="inlineStr">
        <is>
          <t>python3 03-composicion/capas.py aves 7240 audio/OBRA-033_capa.wav --semilla 112334 --raiz 639 --densidad 2 &amp;&amp; python3 03-composicion/ambiente.py audio/OBRA-033_639_yo.wav audio/OBRA-033_final.wav --fondo selva --nivel-capa -2 --capa audio/OBRA-033_capa.wav</t>
        </is>
      </c>
      <c r="W34" s="4" t="inlineStr">
        <is>
          <t>pendiente</t>
        </is>
      </c>
      <c r="X34" s="4" t="inlineStr"/>
      <c r="Y34" s="4" t="inlineStr"/>
      <c r="Z34" s="4" t="inlineStr"/>
      <c r="AA34" s="5">
        <f>IFERROR(Z34/Y34*1000,"")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2" t="n">
        <v>0</v>
      </c>
      <c r="T35" s="2" t="inlineStr">
        <is>
          <t>What are you working on? ✍️ Tell us, and we'll keep you company.</t>
        </is>
      </c>
      <c r="U35" s="3" t="inlineStr">
        <is>
          <t>python3 03-composicion/compositor.py --minutos 180 --raiz 528 --modo yo --semilla 249239 --caracter sin-cuenco --registro grave</t>
        </is>
      </c>
      <c r="V35" s="2" t="inlineStr">
        <is>
          <t>python3 03-composicion/capas.py aves 10840 audio/OBRA-034_capa.wav --semilla 249239 --raiz 528 &amp;&amp; python3 03-composicion/ambiente.py audio/OBRA-034_528_yo.wav audio/OBRA-034_final.wav --fondo mar --nivel-capa -4 --capa audio/OBRA-034_capa.wav</t>
        </is>
      </c>
      <c r="W35" s="4" t="inlineStr">
        <is>
          <t>pendiente</t>
        </is>
      </c>
      <c r="X35" s="4" t="inlineStr"/>
      <c r="Y35" s="4" t="inlineStr"/>
      <c r="Z35" s="4" t="inlineStr"/>
      <c r="AA35" s="5">
        <f>IFERROR(Z35/Y35*1000,"")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2" t="n">
        <v>0</v>
      </c>
      <c r="T36" s="2" t="inlineStr">
        <is>
          <t>What are you working on? ✍️ Tell us, and we'll keep you company.</t>
        </is>
      </c>
      <c r="U36" s="3" t="inlineStr">
        <is>
          <t>python3 03-composicion/compositor.py --minutos 120 --raiz 741 --modo yo --semilla 74636 --caracter sin-cuenco --registro grave</t>
        </is>
      </c>
      <c r="V36" s="2" t="inlineStr">
        <is>
          <t>python3 03-composicion/capas.py aves 7240 audio/OBRA-035_capa.wav --semilla 74636 --raiz 741 --densidad 2 &amp;&amp; python3 03-composicion/ambiente.py audio/OBRA-035_741_yo.wav audio/OBRA-035_final.wav --fondo selva --nivel-capa -2 --capa audio/OBRA-035_capa.wav</t>
        </is>
      </c>
      <c r="W36" s="4" t="inlineStr">
        <is>
          <t>pendiente</t>
        </is>
      </c>
      <c r="X36" s="4" t="inlineStr"/>
      <c r="Y36" s="4" t="inlineStr"/>
      <c r="Z36" s="4" t="inlineStr"/>
      <c r="AA36" s="5">
        <f>IFERROR(Z36/Y36*1000,"")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2" t="n">
        <v>0</v>
      </c>
      <c r="T37" s="2" t="inlineStr">
        <is>
          <t>What are you working on? ✍️ Tell us, and we'll keep you company.</t>
        </is>
      </c>
      <c r="U37" s="3" t="inlineStr">
        <is>
          <t>python3 03-composicion/compositor.py --minutos 90 --raiz 852 --modo yo --semilla 903477 --caracter sin-cuenco --registro grave</t>
        </is>
      </c>
      <c r="V37" s="2" t="inlineStr">
        <is>
          <t>python3 03-composicion/capas.py aves 5440 audio/OBRA-036_capa.wav --semilla 903477 --raiz 852 &amp;&amp; python3 03-composicion/ambiente.py audio/OBRA-036_852_yo.wav audio/OBRA-036_final.wav --fondo mar --nivel-capa -4 --capa audio/OBRA-036_capa.wav</t>
        </is>
      </c>
      <c r="W37" s="4" t="inlineStr">
        <is>
          <t>pendiente</t>
        </is>
      </c>
      <c r="X37" s="4" t="inlineStr"/>
      <c r="Y37" s="4" t="inlineStr"/>
      <c r="Z37" s="4" t="inlineStr"/>
      <c r="AA37" s="5">
        <f>IFERROR(Z37/Y37*1000,"")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2" t="n">
        <v>0</v>
      </c>
      <c r="T38" s="2" t="inlineStr">
        <is>
          <t>What are you working on? ✍️ Tell us, and we'll keep you company.</t>
        </is>
      </c>
      <c r="U38" s="3" t="inlineStr">
        <is>
          <t>python3 03-composicion/compositor.py --minutos 120 --raiz 432 --modo yo --semilla 718809 --caracter sin-cuenco --registro grave</t>
        </is>
      </c>
      <c r="V38" s="2" t="inlineStr">
        <is>
          <t>python3 03-composicion/capas.py aves 7240 audio/OBRA-037_capa.wav --semilla 718809 --raiz 432 --densidad 2 &amp;&amp; python3 03-composicion/ambiente.py audio/OBRA-037_432_yo.wav audio/OBRA-037_final.wav --fondo selva --nivel-capa -2 --capa audio/OBRA-037_capa.wav</t>
        </is>
      </c>
      <c r="W38" s="4" t="inlineStr">
        <is>
          <t>pendiente</t>
        </is>
      </c>
      <c r="X38" s="4" t="inlineStr"/>
      <c r="Y38" s="4" t="inlineStr"/>
      <c r="Z38" s="4" t="inlineStr"/>
      <c r="AA38" s="5">
        <f>IFERROR(Z38/Y38*1000,"")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2" t="n">
        <v>0</v>
      </c>
      <c r="T39" s="2" t="inlineStr">
        <is>
          <t>What are you working on? ✍️ Tell us, and we'll keep you company.</t>
        </is>
      </c>
      <c r="U39" s="3" t="inlineStr">
        <is>
          <t>python3 03-composicion/compositor.py --minutos 120 --raiz 528 --modo shin --semilla 203246 --caracter sin-cuenco --registro grave</t>
        </is>
      </c>
      <c r="V39" s="2" t="inlineStr">
        <is>
          <t>python3 03-composicion/ambiente.py audio/OBRA-038_528_shin.wav audio/OBRA-038_final.wav --fondo mar</t>
        </is>
      </c>
      <c r="W39" s="4" t="inlineStr">
        <is>
          <t>pendiente</t>
        </is>
      </c>
      <c r="X39" s="4" t="inlineStr"/>
      <c r="Y39" s="4" t="inlineStr"/>
      <c r="Z39" s="4" t="inlineStr"/>
      <c r="AA39" s="5">
        <f>IFERROR(Z39/Y39*1000,"")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2" t="n">
        <v>0</v>
      </c>
      <c r="T40" s="2" t="inlineStr">
        <is>
          <t>What are you working on? ✍️ Tell us, and we'll keep you company.</t>
        </is>
      </c>
      <c r="U40" s="3" t="inlineStr">
        <is>
          <t>python3 03-composicion/compositor.py --minutos 90 --raiz 639 --modo yo --semilla 281608 --caracter sin-cuenco --registro grave</t>
        </is>
      </c>
      <c r="V40" s="2" t="inlineStr">
        <is>
          <t>python3 03-composicion/capas.py aves 5440 audio/OBRA-039_capa.wav --semilla 281608 --raiz 639 --densidad 2 &amp;&amp; python3 03-composicion/ambiente.py audio/OBRA-039_639_yo.wav audio/OBRA-039_final.wav --fondo selva --nivel-capa -2 --capa audio/OBRA-039_capa.wav</t>
        </is>
      </c>
      <c r="W40" s="4" t="inlineStr">
        <is>
          <t>pendiente</t>
        </is>
      </c>
      <c r="X40" s="4" t="inlineStr"/>
      <c r="Y40" s="4" t="inlineStr"/>
      <c r="Z40" s="4" t="inlineStr"/>
      <c r="AA40" s="5">
        <f>IFERROR(Z40/Y40*1000,"")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2" t="n">
        <v>0</v>
      </c>
      <c r="T41" s="2" t="inlineStr">
        <is>
          <t>What are you working on? ✍️ Tell us, and we'll keep you company.</t>
        </is>
      </c>
      <c r="U41" s="3" t="inlineStr">
        <is>
          <t>python3 03-composicion/compositor.py --minutos 180 --raiz 741 --modo yo --semilla 883876 --caracter sin-cuenco --registro grave</t>
        </is>
      </c>
      <c r="V41" s="2" t="inlineStr">
        <is>
          <t>python3 03-composicion/capas.py aves 10840 audio/OBRA-040_capa.wav --semilla 883876 --raiz 741 &amp;&amp; python3 03-composicion/ambiente.py audio/OBRA-040_741_yo.wav audio/OBRA-040_final.wav --fondo mar --nivel-capa -4 --capa audio/OBRA-040_capa.wav</t>
        </is>
      </c>
      <c r="W41" s="4" t="inlineStr">
        <is>
          <t>pendiente</t>
        </is>
      </c>
      <c r="X41" s="4" t="inlineStr"/>
      <c r="Y41" s="4" t="inlineStr"/>
      <c r="Z41" s="4" t="inlineStr"/>
      <c r="AA41" s="5">
        <f>IFERROR(Z41/Y41*1000,"")</f>
        <v/>
      </c>
    </row>
    <row r="42" ht="58" customHeight="1">
      <c r="A42" s="2" t="inlineStr">
        <is>
          <t>OBRA-041</t>
        </is>
      </c>
      <c r="B42" s="3" t="inlineStr">
        <is>
          <t>Stop Overthinking 🌿 Calming Music for Anxiety · Birdsong &amp; Temple Bells · 432 Hz · 1 Hour</t>
        </is>
      </c>
      <c r="C42" s="2" t="inlineStr">
        <is>
          <t>Música para momentos de ansiedad · Pájaros y campanas del templo · 432 Hz · Dejar de pensar · 1 hora</t>
        </is>
      </c>
      <c r="D42" s="2" t="inlineStr">
        <is>
          <t>Ansiedad</t>
        </is>
      </c>
      <c r="E42" s="2" t="inlineStr">
        <is>
          <t>jardin</t>
        </is>
      </c>
      <c r="F42" s="3" t="inlineStr">
        <is>
          <t>One hour to stop overthinking. Calming music for anxiety with birdsong and soft temple bells, and a slower breath.
The music slows from 6 to 4.5 breaths per minute: breathe out longer than you breathe in, and let it lead.
🎧 Headphones, low volume. You don't have to solve anything tonight. Just listen.
🌿 Subscribe for a new calm piece every week: https://www.youtube.com/@rinchanneloficial?sub_confirmation=1
Original composition by Rin, synthesized from scratch in just intonation around 432 Hz, hirajoshi mode. No samples.
#calmingmusic #musicforanxiety #432hz</t>
        </is>
      </c>
      <c r="G42" s="2" t="inlineStr">
        <is>
          <t>Dejar de pensar · 1 hora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42" s="2" t="inlineStr">
        <is>
          <t>60 MIN</t>
        </is>
      </c>
      <c r="I42" s="2" t="inlineStr">
        <is>
          <t>#calmingmusic #musicforanxiety #432hz</t>
        </is>
      </c>
      <c r="J42" s="3" t="inlineStr">
        <is>
          <t>stop overthinking, stop overthinking music, calming music, music for anxiety, calming music for anxiety, anxiety relief, stress relief music, calm your nervous system, nervous system regulation, relaxing music, meditation music, calm music, birdsong, birds singing, temple bells, wind chimes, zen garden, 432 hz, 432 hz music, rin, música para la ansiedad</t>
        </is>
      </c>
      <c r="K42" s="4" t="inlineStr"/>
      <c r="L42" s="4" t="inlineStr">
        <is>
          <t>https://youtu.be/LRXFSFZO_uI</t>
        </is>
      </c>
      <c r="M42" s="2" t="n">
        <v>432</v>
      </c>
      <c r="N42" s="2" t="inlineStr">
        <is>
          <t>hirajoshi</t>
        </is>
      </c>
      <c r="O42" s="2" t="inlineStr">
        <is>
          <t>medio</t>
        </is>
      </c>
      <c r="P42" s="2" t="n">
        <v>304617</v>
      </c>
      <c r="Q42" s="2" t="n">
        <v>0</v>
      </c>
      <c r="R42" s="2" t="n">
        <v>60</v>
      </c>
      <c r="S42" s="2" t="n">
        <v>0</v>
      </c>
      <c r="T42" s="2" t="inlineStr">
        <is>
          <t>What's on your mind right now? 🌿 Write it here and leave it with us. Sometimes saying it is enough to set it down.</t>
        </is>
      </c>
      <c r="U42" s="3" t="inlineStr">
        <is>
          <t>python3 03-composicion/compositor.py --minutos 60 --raiz 432 --modo hirajoshi --semilla 304617 --caracter sin-cuenco</t>
        </is>
      </c>
      <c r="V42" s="2" t="inlineStr">
        <is>
          <t>python3 03-composicion/capas.py jardin 3640 audio/OBRA-041_capa.wav --semilla 304617 --raiz 432 &amp;&amp; python3 03-composicion/ambiente.py audio/OBRA-041_432_hirajoshi.wav audio/OBRA-041_final.wav --fondo mar --nivel-fondo -13 --nivel-capa 0 --nivel-obra -23 --capa audio/OBRA-041_capa.wav</t>
        </is>
      </c>
      <c r="W42" s="4" t="inlineStr">
        <is>
          <t>publicada</t>
        </is>
      </c>
      <c r="X42" s="4" t="inlineStr">
        <is>
          <t>2026-09-27</t>
        </is>
      </c>
      <c r="Y42" s="4" t="inlineStr"/>
      <c r="Z42" s="4" t="inlineStr"/>
      <c r="AA42" s="5">
        <f>IFERROR(Z42/Y42*1000,"")</f>
        <v/>
      </c>
    </row>
    <row r="43" ht="58" customHeight="1">
      <c r="A43" s="2" t="inlineStr">
        <is>
          <t>OBRA-042</t>
        </is>
      </c>
      <c r="B43" s="3" t="inlineStr">
        <is>
          <t>Calm Your Nervous System 🌿 Zen Temple Bells · 528 Hz · Music for Anxiety &amp; Sleep · 3 Hours</t>
        </is>
      </c>
      <c r="C43" s="2" t="inlineStr">
        <is>
          <t>Música para momentos de ansiedad · Templo zen · 528 Hz · Calmar el sistema nervioso · 3 horas</t>
        </is>
      </c>
      <c r="D43" s="2" t="inlineStr">
        <is>
          <t>Ansiedad</t>
        </is>
      </c>
      <c r="E43" s="2" t="inlineStr">
        <is>
          <t>zen</t>
        </is>
      </c>
      <c r="F43" s="3" t="inlineStr">
        <is>
          <t>Three hours of calm for an anxious mind and a restless night. Soft zen temple bells over a warm, steady drone.
The music slows from 6 to 4.5 breaths per minute: breathe out longer than you breathe in, and let your body follow.
🌙 Play it low while you rest, read, work or fall asleep.
🌿 Subscribe for a new calm piece every week: https://www.youtube.com/@rinchanneloficial?sub_confirmation=1
Original composition by Rin, synthesized from scratch in just intonation around 528 Hz, shin mode. No samples.
#calmingmusic #sleepmusic #528hz</t>
        </is>
      </c>
      <c r="G43" s="2" t="inlineStr">
        <is>
          <t>Calmar el sistema nervioso · 3 horas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3" s="2" t="inlineStr">
        <is>
          <t>180 MIN</t>
        </is>
      </c>
      <c r="I43" s="2" t="inlineStr">
        <is>
          <t>#calmingmusic #sleepmusic #528hz</t>
        </is>
      </c>
      <c r="J43" s="3" t="inlineStr">
        <is>
          <t>calm your nervous system, nervous system regulation, calming music, music for anxiety, anxiety relief, sleep music, meditation for sleep, deep sleep music, stress relief music, zen music, zen temple, temple bells, 528 hz, 528 hz music, relaxing music, meditation music, 3 hours, rin, música para la ansiedad</t>
        </is>
      </c>
      <c r="K43" s="4" t="inlineStr"/>
      <c r="L43" s="4" t="inlineStr">
        <is>
          <t>https://youtu.be/tt0cPixnquE</t>
        </is>
      </c>
      <c r="M43" s="2" t="n">
        <v>528</v>
      </c>
      <c r="N43" s="2" t="inlineStr">
        <is>
          <t>shin</t>
        </is>
      </c>
      <c r="O43" s="2" t="inlineStr">
        <is>
          <t>medio</t>
        </is>
      </c>
      <c r="P43" s="2" t="n">
        <v>266691</v>
      </c>
      <c r="Q43" s="2" t="n">
        <v>35</v>
      </c>
      <c r="R43" s="2" t="n">
        <v>180</v>
      </c>
      <c r="S43" s="2" t="n">
        <v>0</v>
      </c>
      <c r="T43" s="2" t="inlineStr">
        <is>
          <t>What's on your mind right now? 🌿 Write it here and leave it with us. Sometimes saying it is enough to set it down.</t>
        </is>
      </c>
      <c r="U43" s="3" t="inlineStr">
        <is>
          <t>python3 03-composicion/compositor.py --minutos 180 --raiz 528 --modo shin --semilla 266691 --caracter sin-cuenco</t>
        </is>
      </c>
      <c r="V43" s="2" t="inlineStr">
        <is>
          <t>python3 03-composicion/capas.py zen 10840 audio/OBRA-042_capa.wav --semilla 266691 --raiz 528 --densidad 1.4 &amp;&amp; python3 03-composicion/ambiente.py audio/OBRA-042_528_shin.wav audio/OBRA-042_final.wav --fondo mar --nivel-fondo -12 --nivel-capa 2 --nivel-obra -23 --capa audio/OBRA-042_capa.wav</t>
        </is>
      </c>
      <c r="W43" s="4" t="inlineStr">
        <is>
          <t>publicada</t>
        </is>
      </c>
      <c r="X43" s="4" t="inlineStr">
        <is>
          <t>2026-09-28</t>
        </is>
      </c>
      <c r="Y43" s="4" t="inlineStr"/>
      <c r="Z43" s="4" t="inlineStr"/>
      <c r="AA43" s="5">
        <f>IFERROR(Z43/Y43*1000,"")</f>
        <v/>
      </c>
    </row>
    <row r="44" ht="58" customHeight="1">
      <c r="A44" s="2" t="inlineStr">
        <is>
          <t>OBRA-043</t>
        </is>
      </c>
      <c r="B44" s="3" t="inlineStr">
        <is>
          <t>Dark Screen Sleep Music 🌙 Gentle Rain for Deep Sleep · Fall Asleep Fast · 432 Hz · 3 Hours</t>
        </is>
      </c>
      <c r="C44" s="2" t="inlineStr">
        <is>
          <t>Música para dormir · Lluvia suave · 432 Hz · Pantalla oscura · 3 horas</t>
        </is>
      </c>
      <c r="D44" s="2" t="inlineStr">
        <is>
          <t>Dormir</t>
        </is>
      </c>
      <c r="E44" s="2" t="inlineStr">
        <is>
          <t>lluvia</t>
        </is>
      </c>
      <c r="F44" s="3" t="inlineStr">
        <is>
          <t>Three hours of dark screen sleep music: gentle rain and a slow, warm drone for deep sleep.
The screen fades to black after 3 minutes, so no light keeps you awake. The music slows to 3.5 breaths per minute: let your breathing follow it down.
🌙 Lights off, phone face down, volume low. Nothing else to do tonight.
🌿 Subscribe for a new calm piece every week: https://www.youtube.com/@rinchanneloficial?sub_confirmation=1
Original composition by Rin, synthesized from scratch in just intonation around 216 Hz, the low octave of 432 Hz, kumoi mode. No samples.
#sleepmusic #darkscreen #432hz</t>
        </is>
      </c>
      <c r="G44" s="2" t="inlineStr">
        <is>
          <t>Pantalla oscura · 3 horas
Para acompañar el sueño.
Ambiente: lluvia suave.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4" s="2" t="inlineStr">
        <is>
          <t>3 HOURS</t>
        </is>
      </c>
      <c r="I44" s="2" t="inlineStr">
        <is>
          <t>#sleepmusic #darkscreen #432hz</t>
        </is>
      </c>
      <c r="J44" s="3" t="inlineStr">
        <is>
          <t>dark screen sleep music, black screen sleep music, sleep music, deep sleep music, sleeping music for deep sleeping, fall asleep fast, rain sounds for sleeping, gentle rain, sleep music for anxiety, insomnia, cortisol reset, relaxing sleep music, music for sleep, 432 hz, 432 hz sleep music, 3 hours, rin, música para dormir</t>
        </is>
      </c>
      <c r="K44" s="4" t="inlineStr"/>
      <c r="L44" s="4" t="inlineStr">
        <is>
          <t>https://youtu.be/YtFJIL4q4SI</t>
        </is>
      </c>
      <c r="M44" s="2" t="n">
        <v>432</v>
      </c>
      <c r="N44" s="2" t="inlineStr">
        <is>
          <t>kumoi</t>
        </is>
      </c>
      <c r="O44" s="2" t="inlineStr">
        <is>
          <t>grave</t>
        </is>
      </c>
      <c r="P44" s="2" t="n">
        <v>615127</v>
      </c>
      <c r="Q44" s="2" t="n">
        <v>0</v>
      </c>
      <c r="R44" s="2" t="n">
        <v>180</v>
      </c>
      <c r="S44" s="2" t="n">
        <v>3</v>
      </c>
      <c r="T44" s="2" t="inlineStr">
        <is>
          <t>How long did the rain take to put you to sleep? 🌧️ Tell us in minutes. If you're reading this awake: lights off, phone face down, and press play again.</t>
        </is>
      </c>
      <c r="U44" s="3" t="inlineStr">
        <is>
          <t>python3 03-composicion/compositor.py --minutos 180 --raiz 432 --modo kumoi --semilla 615127 --caracter sin-cuenco --registro grave</t>
        </is>
      </c>
      <c r="V44" s="2" t="inlineStr">
        <is>
          <t>python3 03-composicion/ambiente.py audio/OBRA-043_432_kumoi.wav audio/OBRA-043_final.wav --fondo lluvia</t>
        </is>
      </c>
      <c r="W44" s="4" t="inlineStr">
        <is>
          <t>publicada</t>
        </is>
      </c>
      <c r="X44" s="4" t="inlineStr">
        <is>
          <t>2026-09-29</t>
        </is>
      </c>
      <c r="Y44" s="4" t="inlineStr"/>
      <c r="Z44" s="4" t="inlineStr"/>
      <c r="AA44" s="5">
        <f>IFERROR(Z44/Y44*1000,"")</f>
        <v/>
      </c>
    </row>
    <row r="45" ht="58" customHeight="1">
      <c r="A45" s="2" t="inlineStr">
        <is>
          <t>OBRA-044</t>
        </is>
      </c>
      <c r="B45" s="3" t="inlineStr">
        <is>
          <t>Deep Sleep Theta Waves 🌙 Turn Off Your Thoughts · Dark Screen · Fall Asleep Fast · 3 Hours</t>
        </is>
      </c>
      <c r="C45" s="2" t="inlineStr">
        <is>
          <t>Música para dormir · Mar lejano y ondas theta · 432 Hz · Ondas theta · 3 horas</t>
        </is>
      </c>
      <c r="D45" s="2" t="inlineStr">
        <is>
          <t>Dormir</t>
        </is>
      </c>
      <c r="E45" s="2" t="inlineStr">
        <is>
          <t>theta</t>
        </is>
      </c>
      <c r="F45" s="3" t="inlineStr">
        <is>
          <t>Three hours of theta waves for deep sleep, over a distant ocean and a slow, warm drone. 🎧 Use headphones for the best experience.
With headphones, each ear hears a slightly different tone, 6 Hz apart. Over the hours the difference slows from theta (6 Hz, drifting off) to delta (2 Hz, deep sleep). The screen fades to black after 3 minutes.
🌙 Lights off, phone face down, volume low. Let your thoughts go quiet.
🌿 Subscribe for a new calm piece every week: https://www.youtube.com/@rinchanneloficial?sub_confirmation=1
Original composition by Rin, synthesized from scratch in just intonation around 216 Hz, the low octave of 432 Hz, shin mode. No samples.
#thetawaves #sleepmusic #darkscreen</t>
        </is>
      </c>
      <c r="G45" s="2" t="inlineStr">
        <is>
          <t>Ondas theta · 3 horas
Para acompañar el sueño.
Ambiente: mar lejano y ondas theta.
🎧 Usa auriculares para una mejor experiencia: cada oído escucha un tono apenas distinto y la diferencia baja de theta (6 Hz) a delta (2 Hz).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5" s="2" t="inlineStr">
        <is>
          <t>3 HOURS</t>
        </is>
      </c>
      <c r="I45" s="2" t="inlineStr">
        <is>
          <t>#thetawaves #sleepmusic #darkscreen</t>
        </is>
      </c>
      <c r="J45" s="3" t="inlineStr">
        <is>
          <t>theta waves, theta waves sleep, deep sleep theta waves, binaural beats, binaural beats for sleep, delta waves, dark screen sleep music, black screen sleep music, deep sleep music, fall asleep fast, turn off your thoughts, stop overthinking, sleep meditation, ocean waves, 432 hz, 3 hours, rin, música para dormir</t>
        </is>
      </c>
      <c r="K45" s="4" t="inlineStr"/>
      <c r="L45" s="4" t="inlineStr">
        <is>
          <t>https://youtu.be/BeFuK1CnmII</t>
        </is>
      </c>
      <c r="M45" s="2" t="n">
        <v>432</v>
      </c>
      <c r="N45" s="2" t="inlineStr">
        <is>
          <t>shin</t>
        </is>
      </c>
      <c r="O45" s="2" t="inlineStr">
        <is>
          <t>grave</t>
        </is>
      </c>
      <c r="P45" s="2" t="n">
        <v>810318</v>
      </c>
      <c r="Q45" s="2" t="n">
        <v>0</v>
      </c>
      <c r="R45" s="2" t="n">
        <v>180</v>
      </c>
      <c r="S45" s="2" t="n">
        <v>3</v>
      </c>
      <c r="T45" s="2" t="inlineStr">
        <is>
          <t>Headphones or speaker? 🎧 Tell us which, and how far into the theta waves you got before falling asleep.</t>
        </is>
      </c>
      <c r="U45" s="3" t="inlineStr">
        <is>
          <t>python3 03-composicion/compositor.py --minutos 180 --raiz 432 --modo shin --semilla 810318 --caracter sin-cuenco --registro grave</t>
        </is>
      </c>
      <c r="V45" s="2" t="inlineStr">
        <is>
          <t>python3 03-composicion/capas.py theta 10840 audio/OBRA-044_capa.wav --semilla 810318 --raiz 432 &amp;&amp; python3 03-composicion/ambiente.py audio/OBRA-044_432_shin.wav audio/OBRA-044_final.wav --fondo mar --nivel-fondo -4 --nivel-capa -11 --capa audio/OBRA-044_capa.wav</t>
        </is>
      </c>
      <c r="W45" s="4" t="inlineStr">
        <is>
          <t>publicada</t>
        </is>
      </c>
      <c r="X45" s="4" t="inlineStr">
        <is>
          <t>2026-10-04</t>
        </is>
      </c>
      <c r="Y45" s="4" t="inlineStr"/>
      <c r="Z45" s="4" t="inlineStr"/>
      <c r="AA45" s="5">
        <f>IFERROR(Z45/Y45*1000,"")</f>
        <v/>
      </c>
    </row>
    <row r="46" ht="58" customHeight="1">
      <c r="A46" s="2" t="inlineStr">
        <is>
          <t>OBRA-045</t>
        </is>
      </c>
      <c r="B46" s="3" t="inlineStr">
        <is>
          <t>Woke Up at 3 AM? 🌙 Chinese Guqin &amp; Xiao Flute to Fall Back Asleep · Dark Screen · 3 Hours</t>
        </is>
      </c>
      <c r="C46" s="2" t="inlineStr">
        <is>
          <t>Música para dormir · Guqin y flauta xiao · 432 Hz · Las tres de la mañana · 3 horas</t>
        </is>
      </c>
      <c r="D46" s="2" t="inlineStr">
        <is>
          <t>Dormir</t>
        </is>
      </c>
      <c r="E46" s="2" t="inlineStr">
        <is>
          <t>guqin</t>
        </is>
      </c>
      <c r="F46" s="3" t="inlineStr">
        <is>
          <t>Woke up at 3 AM again? Three hours of Chinese guqin and xiao flute to fall back asleep.
In the Chinese body clock, 1 to 3 AM is the liver's hour: the hour of what you couldn't let go of. Don't check the time. Breathe out slowly through your lips, "shhh" (xū), six times, and let the strings take it from there. The screen fades to black after 3 minutes.
🌙 Phone face down, volume low. The music thins out over the hours, until only soft harmonics are left.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#chinesemusic</t>
        </is>
      </c>
      <c r="G46" s="2" t="inlineStr">
        <is>
          <t>Las tres de la mañana · 3 horas
Para acompañar el sueño.
Ambiente: guqin y flauta xiao.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6" s="2" t="inlineStr">
        <is>
          <t>3 HOURS</t>
        </is>
      </c>
      <c r="I46" s="2" t="inlineStr">
        <is>
          <t>#sleepmusic #guqin #chinesemusic</t>
        </is>
      </c>
      <c r="J46" s="3" t="inlineStr">
        <is>
          <t>woke up at 3am, fall back asleep, music to fall back asleep, chinese sleep music, guqin, guqin music, chinese meditation music, chinese music for sleep, chinese flute music, dark screen sleep music, black screen sleep music, deep sleep music, sleep music, traditional chinese medicine, chinamaxxing, 3 hours, rin, música para dormir</t>
        </is>
      </c>
      <c r="K46" s="4" t="inlineStr"/>
      <c r="L46" s="4" t="inlineStr"/>
      <c r="M46" s="2" t="n">
        <v>432</v>
      </c>
      <c r="N46" s="2" t="inlineStr">
        <is>
          <t>yu</t>
        </is>
      </c>
      <c r="O46" s="2" t="inlineStr">
        <is>
          <t>grave</t>
        </is>
      </c>
      <c r="P46" s="2" t="n">
        <v>270978</v>
      </c>
      <c r="Q46" s="2" t="n">
        <v>0</v>
      </c>
      <c r="R46" s="2" t="n">
        <v>180</v>
      </c>
      <c r="S46" s="2" t="n">
        <v>3</v>
      </c>
      <c r="T46" s="2" t="inlineStr">
        <is>
          <t>What time did you wake up tonight? 🌙 Tell us, then press play and breathe out slowly: shhh.</t>
        </is>
      </c>
      <c r="U46" s="3" t="inlineStr">
        <is>
          <t>python3 03-composicion/tao_largo.py --minutos 180 --raiz 432 --modo yu --semilla 270978</t>
        </is>
      </c>
      <c r="V46" s="2" t="inlineStr">
        <is>
          <t>python3 03-composicion/ambiente.py audio/OBRA-045_432_yu.wav audio/OBRA-045_final.wav --fondo nada --nivel-obra 0 --entrada-obra 1.5 --corte-obra 70 --intro 0.3 --cola 3</t>
        </is>
      </c>
      <c r="W46" s="4" t="inlineStr">
        <is>
          <t>pendiente</t>
        </is>
      </c>
      <c r="X46" s="4" t="inlineStr"/>
      <c r="Y46" s="4" t="inlineStr"/>
      <c r="Z46" s="4" t="inlineStr"/>
      <c r="AA46" s="5">
        <f>IFERROR(Z46/Y46*1000,"")</f>
        <v/>
      </c>
    </row>
    <row r="47" ht="58" customHeight="1">
      <c r="A47" s="2" t="inlineStr">
        <is>
          <t>OBRA-046</t>
        </is>
      </c>
      <c r="B47" s="3" t="inlineStr">
        <is>
          <t>3 AM Reset 🌙 10 Minutes of Chinese Guqin to Fall Back Asleep · Sleep Music</t>
        </is>
      </c>
      <c r="C47" s="2" t="inlineStr">
        <is>
          <t>Música para dormir · Guqin y flauta xiao · 432 Hz · Volver a dormir · 10 minutos</t>
        </is>
      </c>
      <c r="D47" s="2" t="inlineStr">
        <is>
          <t>Dormir</t>
        </is>
      </c>
      <c r="E47" s="2" t="inlineStr">
        <is>
          <t>guqin</t>
        </is>
      </c>
      <c r="F47" s="3" t="inlineStr">
        <is>
          <t>Woke up at 3 AM? Ten minutes of Chinese guqin and xiao flute to fall back asleep.
Don't check the time. Breathe out slowly through your lips, "shhh", six times, and let the strings take it from there.
🌙 Phone face down, volume low. If you're still awake at the end, the full 3 hours are on the channel.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#3am</t>
        </is>
      </c>
      <c r="G47" s="2" t="inlineStr">
        <is>
          <t>Volver a dormir · 10 minutos
Para acompañar el sueño.
Ambiente: guqin y flauta xiao.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7" s="2" t="inlineStr">
        <is>
          <t>10 MIN</t>
        </is>
      </c>
      <c r="I47" s="2" t="inlineStr">
        <is>
          <t>#sleepmusic #guqin #3am</t>
        </is>
      </c>
      <c r="J47" s="3" t="inlineStr">
        <is>
          <t>3am reset, fall back asleep, woke up at 3am, music to fall back asleep, guqin, chinese sleep music, 10 minute sleep music, chinese flute music, sleep music, chinese meditation music, rin, música para dormir</t>
        </is>
      </c>
      <c r="K47" s="4" t="inlineStr"/>
      <c r="L47" s="4" t="inlineStr"/>
      <c r="M47" s="2" t="n">
        <v>432</v>
      </c>
      <c r="N47" s="2" t="inlineStr">
        <is>
          <t>yu</t>
        </is>
      </c>
      <c r="O47" s="2" t="inlineStr">
        <is>
          <t>grave</t>
        </is>
      </c>
      <c r="P47" s="2" t="n">
        <v>926874</v>
      </c>
      <c r="Q47" s="2" t="n">
        <v>110</v>
      </c>
      <c r="R47" s="2" t="n">
        <v>10</v>
      </c>
      <c r="S47" s="2" t="n">
        <v>0</v>
      </c>
      <c r="T47" s="2" t="inlineStr">
        <is>
          <t>What time did you wake up tonight? 🌙 Tell us, then breathe out slowly: shhh.</t>
        </is>
      </c>
      <c r="U47" s="3" t="inlineStr">
        <is>
          <t>python3 03-composicion/tao_largo.py --minutos 10 --raiz 432 --modo yu --semilla 926874</t>
        </is>
      </c>
      <c r="V47" s="2" t="inlineStr">
        <is>
          <t>python3 03-composicion/ambiente.py audio/OBRA-046_432_yu.wav audio/OBRA-046_final.wav --fondo nada --nivel-obra 0 --entrada-obra 1.5 --corte-obra 70 --intro 0.3 --cola 3</t>
        </is>
      </c>
      <c r="W47" s="4" t="inlineStr">
        <is>
          <t>pendiente</t>
        </is>
      </c>
      <c r="X47" s="4" t="inlineStr"/>
      <c r="Y47" s="4" t="inlineStr"/>
      <c r="Z47" s="4" t="inlineStr"/>
      <c r="AA47" s="5">
        <f>IFERROR(Z47/Y47*1000,"")</f>
        <v/>
      </c>
    </row>
    <row r="48" ht="58" customHeight="1">
      <c r="A48" s="2" t="inlineStr">
        <is>
          <t>OBRA-047</t>
        </is>
      </c>
      <c r="B48" s="3" t="inlineStr">
        <is>
          <t>5-Minute Nervous System Reset 🔔 Zen Temple Bells to Calm Anxiety Fast · 528 Hz</t>
        </is>
      </c>
      <c r="C48" s="2" t="inlineStr">
        <is>
          <t>Música para momentos de ansiedad · Templo zen · 528 Hz · Reinicio de cinco minutos · 5 minutos</t>
        </is>
      </c>
      <c r="D48" s="2" t="inlineStr">
        <is>
          <t>Ansiedad</t>
        </is>
      </c>
      <c r="E48" s="2" t="inlineStr">
        <is>
          <t>zen</t>
        </is>
      </c>
      <c r="F48" s="3" t="inlineStr">
        <is>
          <t>Five minutes to calm your nervous system: zen temple bells over a warm, slow drone.
Drop your shoulders. Breathe out longer than you breathe in, and let the bells keep you company until the end.
🎧 Use it between meetings, before a hard conversation, or whenever your chest feels tight.
🌿 Subscribe for a new calm piece every week: https://www.youtube.com/@rinchanneloficial?sub_confirmation=1
Original composition by Rin, synthesized from scratch in just intonation around 528 Hz, shin mode. No samples.
#nervoussystemreset #anxietyrelief #528hz</t>
        </is>
      </c>
      <c r="G48" s="2" t="inlineStr">
        <is>
          <t>Reinicio de cinco minutos · 5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8" s="2" t="inlineStr">
        <is>
          <t>5 MIN</t>
        </is>
      </c>
      <c r="I48" s="2" t="inlineStr">
        <is>
          <t>#nervoussystemreset #anxietyrelief #528hz</t>
        </is>
      </c>
      <c r="J48" s="3" t="inlineStr">
        <is>
          <t>nervous system reset, 5 minute nervous system reset, calm anxiety fast, anxiety relief, 5 minute meditation, zen temple bells, temple bells, calming music, 528 hz, nervous system regulation, quick calm, rin, música para la ansiedad</t>
        </is>
      </c>
      <c r="K48" s="4" t="inlineStr"/>
      <c r="L48" s="4" t="inlineStr"/>
      <c r="M48" s="2" t="n">
        <v>528</v>
      </c>
      <c r="N48" s="2" t="inlineStr">
        <is>
          <t>shin</t>
        </is>
      </c>
      <c r="O48" s="2" t="inlineStr">
        <is>
          <t>medio</t>
        </is>
      </c>
      <c r="P48" s="2" t="n">
        <v>756077</v>
      </c>
      <c r="Q48" s="2" t="n">
        <v>110</v>
      </c>
      <c r="R48" s="2" t="n">
        <v>5</v>
      </c>
      <c r="S48" s="2" t="n">
        <v>0</v>
      </c>
      <c r="T48" s="2" t="inlineStr">
        <is>
          <t>Where are you listening from right now? 🔔 Work, bed, car? Tell us.</t>
        </is>
      </c>
      <c r="U48" s="3" t="inlineStr">
        <is>
          <t>python3 03-composicion/compositor.py --minutos 5 --raiz 528 --modo shin --semilla 756077 --caracter sin-cuenco</t>
        </is>
      </c>
      <c r="V48" s="2" t="inlineStr">
        <is>
          <t>python3 03-composicion/capas.py zen 340 audio/OBRA-047_capa.wav --semilla 756077 --raiz 528 --densidad 1.4 &amp;&amp; python3 03-composicion/ambiente.py audio/OBRA-047_528_shin.wav audio/OBRA-047_final.wav --fondo mar --nivel-fondo -12 --nivel-capa 2 --nivel-obra -23 --capa audio/OBRA-047_capa.wav</t>
        </is>
      </c>
      <c r="W48" s="4" t="inlineStr">
        <is>
          <t>pendiente</t>
        </is>
      </c>
      <c r="X48" s="4" t="inlineStr"/>
      <c r="Y48" s="4" t="inlineStr"/>
      <c r="Z48" s="4" t="inlineStr"/>
      <c r="AA48" s="5">
        <f>IFERROR(Z48/Y48*1000,"")</f>
        <v/>
      </c>
    </row>
    <row r="49" ht="58" customHeight="1">
      <c r="A49" s="2" t="inlineStr">
        <is>
          <t>OBRA-048</t>
        </is>
      </c>
      <c r="B49" s="3" t="inlineStr">
        <is>
          <t>Zen Temple Bells for Deep Sleep 🌙 Dark Screen · Calm Your Mind · 432 Hz · 3 Hours</t>
        </is>
      </c>
      <c r="C49" s="2" t="inlineStr">
        <is>
          <t>Música para dormir · Templo zen · 432 Hz · Campanas para dormir · 3 horas</t>
        </is>
      </c>
      <c r="D49" s="2" t="inlineStr">
        <is>
          <t>Dormir</t>
        </is>
      </c>
      <c r="E49" s="2" t="inlineStr">
        <is>
          <t>zen</t>
        </is>
      </c>
      <c r="F49" s="3" t="inlineStr">
        <is>
          <t>Three hours of soft zen temple bells over a distant ocean, for deep sleep.
The bells grow sparse as the night goes on. The screen fades to black after 3 minutes, so no light keeps you awake.
🌙 Lights off, phone face down, volume low.
🌿 Subscribe for a new calm piece every week: https://www.youtube.com/@rinchanneloficial?sub_confirmation=1
Original composition by Rin, synthesized from scratch in just intonation around 216 Hz, the low octave of 432 Hz, kumoi mode. No samples.
#sleepmusic #templebells #darkscreen</t>
        </is>
      </c>
      <c r="G49" s="2" t="inlineStr">
        <is>
          <t>Campanas para dormir · 3 horas
Para acompañar el sueño.
Ambiente: templo zen.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9" s="2" t="inlineStr">
        <is>
          <t>3 HOURS</t>
        </is>
      </c>
      <c r="I49" s="2" t="inlineStr">
        <is>
          <t>#sleepmusic #templebells #darkscreen</t>
        </is>
      </c>
      <c r="J49" s="3" t="inlineStr">
        <is>
          <t>zen temple bells, temple bells sleep, zen sleep music, dark screen sleep music, black screen sleep music, deep sleep music, sleep music, calm your mind, zen music, meditation music, 432 hz, 3 hours, rin, música para dormir</t>
        </is>
      </c>
      <c r="K49" s="4" t="inlineStr"/>
      <c r="L49" s="4" t="inlineStr"/>
      <c r="M49" s="2" t="n">
        <v>432</v>
      </c>
      <c r="N49" s="2" t="inlineStr">
        <is>
          <t>kumoi</t>
        </is>
      </c>
      <c r="O49" s="2" t="inlineStr">
        <is>
          <t>grave</t>
        </is>
      </c>
      <c r="P49" s="2" t="n">
        <v>762820</v>
      </c>
      <c r="Q49" s="2" t="n">
        <v>-70</v>
      </c>
      <c r="R49" s="2" t="n">
        <v>180</v>
      </c>
      <c r="S49" s="2" t="n">
        <v>3</v>
      </c>
      <c r="T49" s="2" t="inlineStr">
        <is>
          <t>Do bells help you sleep? 🔔 Tell us what sound you want next, it shapes the next piece.</t>
        </is>
      </c>
      <c r="U49" s="3" t="inlineStr">
        <is>
          <t>python3 03-composicion/compositor.py --minutos 180 --raiz 432 --modo kumoi --semilla 762820 --caracter sin-cuenco --registro grave</t>
        </is>
      </c>
      <c r="V49" s="2" t="inlineStr">
        <is>
          <t>python3 03-composicion/capas.py zen 10840 audio/OBRA-048_capa.wav --semilla 762820 --raiz 432 --densidad 1.4 &amp;&amp; python3 03-composicion/ambiente.py audio/OBRA-048_432_kumoi.wav audio/OBRA-048_final.wav --fondo mar --nivel-fondo -12 --nivel-capa 2 --nivel-obra -23 --capa audio/OBRA-048_capa.wav</t>
        </is>
      </c>
      <c r="W49" s="4" t="inlineStr">
        <is>
          <t>pendiente</t>
        </is>
      </c>
      <c r="X49" s="4" t="inlineStr"/>
      <c r="Y49" s="4" t="inlineStr"/>
      <c r="Z49" s="4" t="inlineStr"/>
      <c r="AA49" s="5">
        <f>IFERROR(Z49/Y49*1000,"")</f>
        <v/>
      </c>
    </row>
    <row r="50" ht="58" customHeight="1">
      <c r="A50" s="2" t="inlineStr">
        <is>
          <t>OBRA-049</t>
        </is>
      </c>
      <c r="B50" s="3" t="inlineStr">
        <is>
          <t>Stop Overthinking in 10 Minutes 🌿 Birdsong &amp; Temple Bells · Calming Music · 432 Hz</t>
        </is>
      </c>
      <c r="C50" s="2" t="inlineStr">
        <is>
          <t>Música para momentos de ansiedad · Pájaros y campanas del templo · 432 Hz · Dejar de pensar en diez · 10 minutos</t>
        </is>
      </c>
      <c r="D50" s="2" t="inlineStr">
        <is>
          <t>Ansiedad</t>
        </is>
      </c>
      <c r="E50" s="2" t="inlineStr">
        <is>
          <t>jardin</t>
        </is>
      </c>
      <c r="F50" s="3" t="inlineStr">
        <is>
          <t>Ten minutes to stop overthinking: birdsong, soft temple bells and a slower breath.
You don't have to solve it now. Breathe out longer than you breathe in, and just listen to the birds.
🌿 Headphones on, eyes closed if you can.
🌿 Subscribe for a new calm piece every week: https://www.youtube.com/@rinchanneloficial?sub_confirmation=1
Original composition by Rin, synthesized from scratch in just intonation around 432 Hz, hirajoshi mode. No samples.
#stopoverthinking #calmingmusic #432hz</t>
        </is>
      </c>
      <c r="G50" s="2" t="inlineStr">
        <is>
          <t>Dejar de pensar en diez · 10 minutos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50" s="2" t="inlineStr">
        <is>
          <t>10 MIN</t>
        </is>
      </c>
      <c r="I50" s="2" t="inlineStr">
        <is>
          <t>#stopoverthinking #calmingmusic #432hz</t>
        </is>
      </c>
      <c r="J50" s="3" t="inlineStr">
        <is>
          <t>stop overthinking, stop overthinking music, 10 minute meditation, calming music, music for anxiety, birdsong, temple bells, anxiety relief, calm your mind, 432 hz, rin, música para la ansiedad</t>
        </is>
      </c>
      <c r="K50" s="4" t="inlineStr"/>
      <c r="L50" s="4" t="inlineStr"/>
      <c r="M50" s="2" t="n">
        <v>432</v>
      </c>
      <c r="N50" s="2" t="inlineStr">
        <is>
          <t>hirajoshi</t>
        </is>
      </c>
      <c r="O50" s="2" t="inlineStr">
        <is>
          <t>medio</t>
        </is>
      </c>
      <c r="P50" s="2" t="n">
        <v>341227</v>
      </c>
      <c r="Q50" s="2" t="n">
        <v>110</v>
      </c>
      <c r="R50" s="2" t="n">
        <v>10</v>
      </c>
      <c r="S50" s="2" t="n">
        <v>0</v>
      </c>
      <c r="T50" s="2" t="inlineStr">
        <is>
          <t>What's the thought that won't leave you alone today? 🌿 Write one word. Then let it go.</t>
        </is>
      </c>
      <c r="U50" s="3" t="inlineStr">
        <is>
          <t>python3 03-composicion/compositor.py --minutos 10 --raiz 432 --modo hirajoshi --semilla 341227 --caracter sin-cuenco</t>
        </is>
      </c>
      <c r="V50" s="2" t="inlineStr">
        <is>
          <t>python3 03-composicion/capas.py jardin 640 audio/OBRA-049_capa.wav --semilla 341227 --raiz 432 &amp;&amp; python3 03-composicion/ambiente.py audio/OBRA-049_432_hirajoshi.wav audio/OBRA-049_final.wav --fondo mar --nivel-fondo -13 --nivel-capa 0 --nivel-obra -23 --capa audio/OBRA-049_capa.wav</t>
        </is>
      </c>
      <c r="W50" s="4" t="inlineStr">
        <is>
          <t>pendiente</t>
        </is>
      </c>
      <c r="X50" s="4" t="inlineStr"/>
      <c r="Y50" s="4" t="inlineStr"/>
      <c r="Z50" s="4" t="inlineStr"/>
      <c r="AA50" s="5">
        <f>IFERROR(Z50/Y50*1000,"")</f>
        <v/>
      </c>
    </row>
    <row r="51" ht="58" customHeight="1">
      <c r="A51" s="2" t="inlineStr">
        <is>
          <t>OBRA-050</t>
        </is>
      </c>
      <c r="B51" s="3" t="inlineStr">
        <is>
          <t>Brown Noise for Deep Sleep 🌙 Distant Temple Bells · Black Screen · Fall Asleep Fast · 3 Hours</t>
        </is>
      </c>
      <c r="C51" s="2" t="inlineStr">
        <is>
          <t>Música para dormir · Ruido marrón y campanas lejanas · 432 Hz · Ruido marrón · 3 horas</t>
        </is>
      </c>
      <c r="D51" s="2" t="inlineStr">
        <is>
          <t>Dormir</t>
        </is>
      </c>
      <c r="E51" s="2" t="inlineStr">
        <is>
          <t>marron</t>
        </is>
      </c>
      <c r="F51" s="3" t="inlineStr">
        <is>
          <t>Brown noise for deep sleep: low, warm and steady, with distant temple bells.
Like heavy rain on a faraway roof. No beat, no melody to follow, nothing to listen for. The screen fades to black after 3 minutes.
🌙 Lights off, phone face down, volume low. Let it cover the noise.
🌿 Subscribe for a new calm piece every week: https://www.youtube.com/@rinchanneloficial?sub_confirmation=1
Original composition by Rin, synthesized from scratch in just intonation around 216 Hz, the low octave of 432 Hz, kumoi mode. No samples.
#brownnoise #sleepsounds #darkscreen</t>
        </is>
      </c>
      <c r="G51" s="2" t="inlineStr">
        <is>
          <t>Ruido marrón · 3 horas
Para acompañar el sueño.
Ambiente: ruido marrón y campanas lejanas.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51" s="2" t="inlineStr">
        <is>
          <t>3 HOURS</t>
        </is>
      </c>
      <c r="I51" s="2" t="inlineStr">
        <is>
          <t>#brownnoise #sleepsounds #darkscreen</t>
        </is>
      </c>
      <c r="J51" s="3" t="inlineStr">
        <is>
          <t>brown noise, brown noise for sleeping, brown noise sleep, brown noise black screen, brown noise 3 hours, deep sleep, sleep sounds, black screen sleep, dark screen sleep music, fall asleep fast, temple bells, noise for sleeping, rin, ruido marrón para dormir</t>
        </is>
      </c>
      <c r="K51" s="4" t="inlineStr"/>
      <c r="L51" s="4" t="inlineStr"/>
      <c r="M51" s="2" t="n">
        <v>432</v>
      </c>
      <c r="N51" s="2" t="inlineStr">
        <is>
          <t>kumoi</t>
        </is>
      </c>
      <c r="O51" s="2" t="inlineStr">
        <is>
          <t>grave</t>
        </is>
      </c>
      <c r="P51" s="2" t="n">
        <v>36529</v>
      </c>
      <c r="Q51" s="2" t="n">
        <v>0</v>
      </c>
      <c r="R51" s="2" t="n">
        <v>180</v>
      </c>
      <c r="S51" s="2" t="n">
        <v>3</v>
      </c>
      <c r="T51" s="2" t="inlineStr">
        <is>
          <t>Brown noise or rain: which one puts you to sleep faster? 🌙 Tell us.</t>
        </is>
      </c>
      <c r="U51" s="3" t="inlineStr">
        <is>
          <t>python3 03-composicion/compositor.py --minutos 180 --raiz 432 --modo kumoi --semilla 36529 --caracter sin-cuenco --registro grave</t>
        </is>
      </c>
      <c r="V51" s="2" t="inlineStr">
        <is>
          <t>python3 03-composicion/capas.py zen 10840 audio/OBRA-050_capa.wav --semilla 36529 --raiz 432 --densidad 0.6 &amp;&amp; python3 03-composicion/ambiente.py audio/OBRA-050_432_kumoi.wav audio/OBRA-050_final.wav --fondo marron --nivel-obra -24 --nivel-capa -9 --entrada-obra 4 --capa audio/OBRA-050_capa.wav</t>
        </is>
      </c>
      <c r="W51" s="4" t="inlineStr">
        <is>
          <t>pendiente</t>
        </is>
      </c>
      <c r="X51" s="4" t="inlineStr"/>
      <c r="Y51" s="4" t="inlineStr"/>
      <c r="Z51" s="4" t="inlineStr"/>
      <c r="AA51" s="5">
        <f>IFERROR(Z51/Y51*1000,"")</f>
        <v/>
      </c>
    </row>
    <row r="52" ht="58" customHeight="1">
      <c r="A52" s="2" t="inlineStr">
        <is>
          <t>OBRA-051</t>
        </is>
      </c>
      <c r="B52" s="3" t="inlineStr">
        <is>
          <t>Pink Noise + Delta Waves for Deep Sleep 🌙 Binaural Beats · Black Screen · 3 Hours</t>
        </is>
      </c>
      <c r="C52" s="2" t="inlineStr">
        <is>
          <t>Música para dormir · Ruido rosa y ondas delta · 432 Hz · Ruido rosa y delta · 3 horas</t>
        </is>
      </c>
      <c r="D52" s="2" t="inlineStr">
        <is>
          <t>Dormir</t>
        </is>
      </c>
      <c r="E52" s="2" t="inlineStr">
        <is>
          <t>delta</t>
        </is>
      </c>
      <c r="F52" s="3" t="inlineStr">
        <is>
          <t>Pink noise with delta waves for deep sleep. 🎧 Use headphones for the best experience.
Pink noise is soft and even, like steady rain. Underneath, each ear hears a slightly different tone: the difference starts at 3 Hz and slows to 1.5 Hz, the rhythm of deep sleep. The screen fades to black after 3 minutes.
🌙 Headphones on, lights off, volume low.
🌿 Subscribe for a new calm piece every week: https://www.youtube.com/@rinchanneloficial?sub_confirmation=1
Original composition by Rin, synthesized from scratch in just intonation around 216 Hz, the low octave of 432 Hz, shin mode. No samples. Delta waves are the brain's slowest rhythm, the one of deep sleep. Not medical advice.
#pinknoise #deltawaves #deepsleep</t>
        </is>
      </c>
      <c r="G52" s="2" t="inlineStr">
        <is>
          <t>Ruido rosa y delta · 3 horas
Para acompañar el sueño.
Ambiente: ruido rosa y ondas delta.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52" s="2" t="inlineStr">
        <is>
          <t>3 HOURS</t>
        </is>
      </c>
      <c r="I52" s="2" t="inlineStr">
        <is>
          <t>#pinknoise #deltawaves #deepsleep</t>
        </is>
      </c>
      <c r="J52" s="3" t="inlineStr">
        <is>
          <t>pink noise, pink noise for sleeping, delta waves, delta waves sleep, pink noise delta waves, binaural beats, binaural beats for sleep, deep sleep, black screen sleep, sleep sounds, fall asleep fast, 3 hours, rin, ruido rosa para dormir</t>
        </is>
      </c>
      <c r="K52" s="4" t="inlineStr"/>
      <c r="L52" s="4" t="inlineStr"/>
      <c r="M52" s="2" t="n">
        <v>432</v>
      </c>
      <c r="N52" s="2" t="inlineStr">
        <is>
          <t>shin</t>
        </is>
      </c>
      <c r="O52" s="2" t="inlineStr">
        <is>
          <t>grave</t>
        </is>
      </c>
      <c r="P52" s="2" t="n">
        <v>127804</v>
      </c>
      <c r="Q52" s="2" t="n">
        <v>0</v>
      </c>
      <c r="R52" s="2" t="n">
        <v>180</v>
      </c>
      <c r="S52" s="2" t="n">
        <v>3</v>
      </c>
      <c r="T52" s="2" t="inlineStr">
        <is>
          <t>Headphones or speaker? 🎧 Tell us how far you got before falling asleep.</t>
        </is>
      </c>
      <c r="U52" s="3" t="inlineStr">
        <is>
          <t>python3 03-composicion/compositor.py --minutos 180 --raiz 432 --modo shin --semilla 127804 --caracter sin-cuenco --registro grave</t>
        </is>
      </c>
      <c r="V52" s="2" t="inlineStr">
        <is>
          <t>python3 03-composicion/capas.py delta 10840 audio/OBRA-051_capa.wav --semilla 127804 --raiz 432 &amp;&amp; python3 03-composicion/ambiente.py audio/OBRA-051_432_shin.wav audio/OBRA-051_final.wav --fondo rosa --nivel-fondo -1 --nivel-obra -22 --nivel-capa -13 --entrada-obra 4 --capa audio/OBRA-051_capa.wav</t>
        </is>
      </c>
      <c r="W52" s="4" t="inlineStr">
        <is>
          <t>pendiente</t>
        </is>
      </c>
      <c r="X52" s="4" t="inlineStr"/>
      <c r="Y52" s="4" t="inlineStr"/>
      <c r="Z52" s="4" t="inlineStr"/>
      <c r="AA52" s="5">
        <f>IFERROR(Z52/Y52*1000,"")</f>
        <v/>
      </c>
    </row>
  </sheetData>
  <autoFilter ref="A1:AA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row r="282" ht="58" customHeight="1">
      <c r="A282" s="2" t="inlineStr">
        <is>
          <t>OBRA-041-S1</t>
        </is>
      </c>
      <c r="B282" s="2" t="inlineStr">
        <is>
          <t>OBRA-041</t>
        </is>
      </c>
      <c r="C282" s="2" t="n">
        <v>1</v>
      </c>
      <c r="D282" s="2" t="inlineStr">
        <is>
          <t>short-1.mp4</t>
        </is>
      </c>
      <c r="E282" s="2" t="n">
        <v>90</v>
      </c>
      <c r="F282" s="2" t="n">
        <v>1</v>
      </c>
      <c r="G282" s="2" t="n">
        <v>0</v>
      </c>
      <c r="H282" s="2" t="inlineStr">
        <is>
          <t>for when your mind won't stop</t>
        </is>
      </c>
      <c r="I282" s="3" t="inlineStr">
        <is>
          <t>For when your mind won't stop · 432 Hz · Birds and Temple Bells</t>
        </is>
      </c>
      <c r="J282" s="3" t="inlineStr">
        <is>
          <t>Save this for the next hard moment.
Full piece (1 h): Stop Overthinking 🌿 Calming Music for Anxiety · Birdsong &amp; Temple Bells · 432 Hz · 1 Hour
https://youtu.be/LRXFSFZO_uI
#anxietyrelief #calm #relaxingmusic #432hz #shorts</t>
        </is>
      </c>
      <c r="K282" s="2" t="inlineStr">
        <is>
          <t>anxiety relief, calming music, 432 hz, birds and temple bells, Rin</t>
        </is>
      </c>
      <c r="L282" s="2" t="inlineStr">
        <is>
          <t>https://youtu.be/LRXFSFZO_uI</t>
        </is>
      </c>
      <c r="M282" s="2" t="inlineStr">
        <is>
          <t>432 Hz · calm</t>
        </is>
      </c>
      <c r="N282" s="3" t="inlineStr">
        <is>
          <t>Save this for the next hard moment. Full 1 h piece on YouTube: Rin.
#anxietyrelief #calm #relaxingmusic #432hz #meditation</t>
        </is>
      </c>
      <c r="O282" s="4" t="inlineStr">
        <is>
          <t>pendiente</t>
        </is>
      </c>
      <c r="P282" s="4" t="inlineStr"/>
      <c r="Q282" s="4" t="inlineStr"/>
      <c r="R282" s="4" t="inlineStr"/>
      <c r="S282" s="4" t="inlineStr"/>
    </row>
    <row r="283" ht="58" customHeight="1">
      <c r="A283" s="2" t="inlineStr">
        <is>
          <t>OBRA-041-S2</t>
        </is>
      </c>
      <c r="B283" s="2" t="inlineStr">
        <is>
          <t>OBRA-041</t>
        </is>
      </c>
      <c r="C283" s="2" t="n">
        <v>2</v>
      </c>
      <c r="D283" s="2" t="inlineStr">
        <is>
          <t>short-2.mp4</t>
        </is>
      </c>
      <c r="E283" s="2" t="n">
        <v>961</v>
      </c>
      <c r="F283" s="2" t="n">
        <v>1.15</v>
      </c>
      <c r="G283" s="2" t="n">
        <v>9.6</v>
      </c>
      <c r="H283" s="2" t="inlineStr">
        <is>
          <t>breathe out longer than you breathe in</t>
        </is>
      </c>
      <c r="I283" s="3" t="inlineStr">
        <is>
          <t>Breathe out longer than you breathe in · 432 Hz · Birds and Temple Bells</t>
        </is>
      </c>
      <c r="J283" s="3" t="inlineStr">
        <is>
          <t>Headphones on. Exhale slowly.
Full piece (1 h): Stop Overthinking 🌿 Calming Music for Anxiety · Birdsong &amp; Temple Bells · 432 Hz · 1 Hour
https://youtu.be/LRXFSFZO_uI
#anxietyrelief #calm #relaxingmusic #432hz #shorts</t>
        </is>
      </c>
      <c r="K283" s="2" t="inlineStr">
        <is>
          <t>anxiety relief, calming music, 432 hz, birds and temple bells, Rin</t>
        </is>
      </c>
      <c r="L283" s="2" t="inlineStr">
        <is>
          <t>https://youtu.be/LRXFSFZO_uI</t>
        </is>
      </c>
      <c r="M283" s="2" t="inlineStr">
        <is>
          <t>432 Hz · exhale</t>
        </is>
      </c>
      <c r="N283" s="3" t="inlineStr">
        <is>
          <t>Headphones on. Exhale slowly. Full 1 h piece on YouTube: Rin.
#anxietyrelief #calm #relaxingmusic #432hz #meditation</t>
        </is>
      </c>
      <c r="O283" s="4" t="inlineStr">
        <is>
          <t>pendiente</t>
        </is>
      </c>
      <c r="P283" s="4" t="inlineStr"/>
      <c r="Q283" s="4" t="inlineStr"/>
      <c r="R283" s="4" t="inlineStr"/>
      <c r="S283" s="4" t="inlineStr"/>
    </row>
    <row r="284" ht="58" customHeight="1">
      <c r="A284" s="2" t="inlineStr">
        <is>
          <t>OBRA-041-S3</t>
        </is>
      </c>
      <c r="B284" s="2" t="inlineStr">
        <is>
          <t>OBRA-041</t>
        </is>
      </c>
      <c r="C284" s="2" t="n">
        <v>3</v>
      </c>
      <c r="D284" s="2" t="inlineStr">
        <is>
          <t>short-3.mp4</t>
        </is>
      </c>
      <c r="E284" s="2" t="n">
        <v>1832</v>
      </c>
      <c r="F284" s="2" t="n">
        <v>1.3</v>
      </c>
      <c r="G284" s="2" t="n">
        <v>19.2</v>
      </c>
      <c r="H284" s="2" t="inlineStr">
        <is>
          <t>a pause, just for you</t>
        </is>
      </c>
      <c r="I284" s="3" t="inlineStr">
        <is>
          <t>A pause, just for you · 432 Hz · Birds and Temple Bells</t>
        </is>
      </c>
      <c r="J284" s="3" t="inlineStr">
        <is>
          <t>Stay for one full breath.
Full piece (1 h): Stop Overthinking 🌿 Calming Music for Anxiety · Birdsong &amp; Temple Bells · 432 Hz · 1 Hour
https://youtu.be/LRXFSFZO_uI
#anxietyrelief #calm #relaxingmusic #432hz #shorts</t>
        </is>
      </c>
      <c r="K284" s="2" t="inlineStr">
        <is>
          <t>anxiety relief, calming music, 432 hz, birds and temple bells, Rin</t>
        </is>
      </c>
      <c r="L284" s="2" t="inlineStr">
        <is>
          <t>https://youtu.be/LRXFSFZO_uI</t>
        </is>
      </c>
      <c r="M284" s="2" t="inlineStr">
        <is>
          <t>432 Hz · pause</t>
        </is>
      </c>
      <c r="N284" s="3" t="inlineStr">
        <is>
          <t>Stay for one full breath. Full 1 h piece on YouTube: Rin.
#anxietyrelief #calm #relaxingmusic #432hz #meditation</t>
        </is>
      </c>
      <c r="O284" s="4" t="inlineStr">
        <is>
          <t>pendiente</t>
        </is>
      </c>
      <c r="P284" s="4" t="inlineStr"/>
      <c r="Q284" s="4" t="inlineStr"/>
      <c r="R284" s="4" t="inlineStr"/>
      <c r="S284" s="4" t="inlineStr"/>
    </row>
    <row r="285" ht="58" customHeight="1">
      <c r="A285" s="2" t="inlineStr">
        <is>
          <t>OBRA-041-S4</t>
        </is>
      </c>
      <c r="B285" s="2" t="inlineStr">
        <is>
          <t>OBRA-041</t>
        </is>
      </c>
      <c r="C285" s="2" t="n">
        <v>4</v>
      </c>
      <c r="D285" s="2" t="inlineStr">
        <is>
          <t>short-4.mp4</t>
        </is>
      </c>
      <c r="E285" s="2" t="n">
        <v>2704</v>
      </c>
      <c r="F285" s="2" t="n">
        <v>1.08</v>
      </c>
      <c r="G285" s="2" t="n">
        <v>28.8</v>
      </c>
      <c r="H285" s="2" t="inlineStr">
        <is>
          <t>slow down, one breath at a time</t>
        </is>
      </c>
      <c r="I285" s="3" t="inlineStr">
        <is>
          <t>Slow down, one breath at a time · 432 Hz · Birds and Temple Bells</t>
        </is>
      </c>
      <c r="J285" s="3" t="inlineStr">
        <is>
          <t>A small pause in the middle of the day.
Full piece (1 h): Stop Overthinking 🌿 Calming Music for Anxiety · Birdsong &amp; Temple Bells · 432 Hz · 1 Hour
https://youtu.be/LRXFSFZO_uI
#anxietyrelief #calm #relaxingmusic #432hz #shorts</t>
        </is>
      </c>
      <c r="K285" s="2" t="inlineStr">
        <is>
          <t>anxiety relief, calming music, 432 hz, birds and temple bells, Rin</t>
        </is>
      </c>
      <c r="L285" s="2" t="inlineStr">
        <is>
          <t>https://youtu.be/LRXFSFZO_uI</t>
        </is>
      </c>
      <c r="M285" s="2" t="inlineStr">
        <is>
          <t>432 Hz · breathe</t>
        </is>
      </c>
      <c r="N285" s="3" t="inlineStr">
        <is>
          <t>A small pause in the middle of the day. Full 1 h piece on YouTube: Rin.
#anxietyrelief #calm #relaxingmusic #432hz #meditation</t>
        </is>
      </c>
      <c r="O285" s="4" t="inlineStr">
        <is>
          <t>pendiente</t>
        </is>
      </c>
      <c r="P285" s="4" t="inlineStr"/>
      <c r="Q285" s="4" t="inlineStr"/>
      <c r="R285" s="4" t="inlineStr"/>
      <c r="S285" s="4" t="inlineStr"/>
    </row>
    <row r="286" ht="58" customHeight="1">
      <c r="A286" s="2" t="inlineStr">
        <is>
          <t>OBRA-041-S5</t>
        </is>
      </c>
      <c r="B286" s="2" t="inlineStr">
        <is>
          <t>OBRA-041</t>
        </is>
      </c>
      <c r="C286" s="2" t="n">
        <v>5</v>
      </c>
      <c r="D286" s="2" t="inlineStr">
        <is>
          <t>short-5.mp4</t>
        </is>
      </c>
      <c r="E286" s="2" t="n">
        <v>3575</v>
      </c>
      <c r="F286" s="2" t="n">
        <v>1.22</v>
      </c>
      <c r="G286" s="2" t="n">
        <v>38.4</v>
      </c>
      <c r="H286" s="2" t="inlineStr">
        <is>
          <t>before you begin</t>
        </is>
      </c>
      <c r="I286" s="3" t="inlineStr">
        <is>
          <t>Before you begin · 432 Hz · Birds and Temple Bells</t>
        </is>
      </c>
      <c r="J286" s="3" t="inlineStr">
        <is>
          <t>Send this to someone who needs a pause.
Full piece (1 h): Stop Overthinking 🌿 Calming Music for Anxiety · Birdsong &amp; Temple Bells · 432 Hz · 1 Hour
https://youtu.be/LRXFSFZO_uI
#anxietyrelief #calm #relaxingmusic #432hz #shorts</t>
        </is>
      </c>
      <c r="K286" s="2" t="inlineStr">
        <is>
          <t>anxiety relief, calming music, 432 hz, birds and temple bells, Rin</t>
        </is>
      </c>
      <c r="L286" s="2" t="inlineStr">
        <is>
          <t>https://youtu.be/LRXFSFZO_uI</t>
        </is>
      </c>
      <c r="M286" s="2" t="inlineStr">
        <is>
          <t>432 Hz · slow down</t>
        </is>
      </c>
      <c r="N286" s="3" t="inlineStr">
        <is>
          <t>Send this to someone who needs a pause. Full 1 h piece on YouTube: Rin.
#anxietyrelief #calm #relaxingmusic #432hz #meditation</t>
        </is>
      </c>
      <c r="O286" s="4" t="inlineStr">
        <is>
          <t>pendiente</t>
        </is>
      </c>
      <c r="P286" s="4" t="inlineStr"/>
      <c r="Q286" s="4" t="inlineStr"/>
      <c r="R286" s="4" t="inlineStr"/>
      <c r="S286" s="4" t="inlineStr"/>
    </row>
    <row r="287" ht="58" customHeight="1">
      <c r="A287" s="2" t="inlineStr">
        <is>
          <t>OBRA-041-S6</t>
        </is>
      </c>
      <c r="B287" s="2" t="inlineStr">
        <is>
          <t>OBRA-041</t>
        </is>
      </c>
      <c r="C287" s="2" t="n">
        <v>6</v>
      </c>
      <c r="D287" s="2" t="inlineStr">
        <is>
          <t>short-6.mp4</t>
        </is>
      </c>
      <c r="E287" s="2" t="n">
        <v>526</v>
      </c>
      <c r="F287" s="2" t="n">
        <v>1.35</v>
      </c>
      <c r="G287" s="2" t="n">
        <v>4.8</v>
      </c>
      <c r="H287" s="2" t="inlineStr">
        <is>
          <t>you can put it down for now</t>
        </is>
      </c>
      <c r="I287" s="3" t="inlineStr">
        <is>
          <t>You can put it down for now · 432 Hz · Birds and Temple Bells</t>
        </is>
      </c>
      <c r="J287" s="3" t="inlineStr">
        <is>
          <t>Breathe with the sound for a moment.
Full piece (1 h): Stop Overthinking 🌿 Calming Music for Anxiety · Birdsong &amp; Temple Bells · 432 Hz · 1 Hour
https://youtu.be/LRXFSFZO_uI
#anxietyrelief #calm #relaxingmusic #432hz #shorts</t>
        </is>
      </c>
      <c r="K287" s="2" t="inlineStr">
        <is>
          <t>anxiety relief, calming music, 432 hz, birds and temple bells, Rin</t>
        </is>
      </c>
      <c r="L287" s="2" t="inlineStr">
        <is>
          <t>https://youtu.be/LRXFSFZO_uI</t>
        </is>
      </c>
      <c r="M287" s="2" t="inlineStr">
        <is>
          <t>432 Hz · let go</t>
        </is>
      </c>
      <c r="N287" s="3" t="inlineStr">
        <is>
          <t>Breathe with the sound for a moment. Full 1 h piece on YouTube: Rin.
#anxietyrelief #calm #relaxingmusic #432hz #meditation</t>
        </is>
      </c>
      <c r="O287" s="4" t="inlineStr">
        <is>
          <t>pendiente</t>
        </is>
      </c>
      <c r="P287" s="4" t="inlineStr"/>
      <c r="Q287" s="4" t="inlineStr"/>
      <c r="R287" s="4" t="inlineStr"/>
      <c r="S287" s="4" t="inlineStr"/>
    </row>
    <row r="288" ht="58" customHeight="1">
      <c r="A288" s="2" t="inlineStr">
        <is>
          <t>OBRA-041-S7</t>
        </is>
      </c>
      <c r="B288" s="2" t="inlineStr">
        <is>
          <t>OBRA-041</t>
        </is>
      </c>
      <c r="C288" s="2" t="n">
        <v>7</v>
      </c>
      <c r="D288" s="2" t="inlineStr">
        <is>
          <t>short-7.mp4</t>
        </is>
      </c>
      <c r="E288" s="2" t="n">
        <v>2268</v>
      </c>
      <c r="F288" s="2" t="n">
        <v>1.04</v>
      </c>
      <c r="G288" s="2" t="n">
        <v>33.6</v>
      </c>
      <c r="H288" s="2" t="inlineStr">
        <is>
          <t>one minute of quiet</t>
        </is>
      </c>
      <c r="I288" s="3" t="inlineStr">
        <is>
          <t>One minute of quiet · 432 Hz · Birds and Temple Bells</t>
        </is>
      </c>
      <c r="J288" s="3" t="inlineStr">
        <is>
          <t>Come back to this when you need it.
Full piece (1 h): Stop Overthinking 🌿 Calming Music for Anxiety · Birdsong &amp; Temple Bells · 432 Hz · 1 Hour
https://youtu.be/LRXFSFZO_uI
#anxietyrelief #calm #relaxingmusic #432hz #shorts</t>
        </is>
      </c>
      <c r="K288" s="2" t="inlineStr">
        <is>
          <t>anxiety relief, calming music, 432 hz, birds and temple bells, Rin</t>
        </is>
      </c>
      <c r="L288" s="2" t="inlineStr">
        <is>
          <t>https://youtu.be/LRXFSFZO_uI</t>
        </is>
      </c>
      <c r="M288" s="2" t="inlineStr">
        <is>
          <t>432 Hz · quiet</t>
        </is>
      </c>
      <c r="N288" s="3" t="inlineStr">
        <is>
          <t>Come back to this when you need it. Full 1 h piece on YouTube: Rin.
#anxietyrelief #calm #relaxingmusic #432hz #meditation</t>
        </is>
      </c>
      <c r="O288" s="4" t="inlineStr">
        <is>
          <t>pendiente</t>
        </is>
      </c>
      <c r="P288" s="4" t="inlineStr"/>
      <c r="Q288" s="4" t="inlineStr"/>
      <c r="R288" s="4" t="inlineStr"/>
      <c r="S288" s="4" t="inlineStr"/>
    </row>
    <row r="289" ht="58" customHeight="1">
      <c r="A289" s="2" t="inlineStr">
        <is>
          <t>OBRA-042-S1</t>
        </is>
      </c>
      <c r="B289" s="2" t="inlineStr">
        <is>
          <t>OBRA-042</t>
        </is>
      </c>
      <c r="C289" s="2" t="n">
        <v>1</v>
      </c>
      <c r="D289" s="2" t="inlineStr">
        <is>
          <t>short-1.mp4</t>
        </is>
      </c>
      <c r="E289" s="2" t="n">
        <v>90</v>
      </c>
      <c r="F289" s="2" t="n">
        <v>1</v>
      </c>
      <c r="G289" s="2" t="n">
        <v>0</v>
      </c>
      <c r="H289" s="2" t="inlineStr">
        <is>
          <t>for when your mind won't stop</t>
        </is>
      </c>
      <c r="I289" s="3" t="inlineStr">
        <is>
          <t>For when your mind won't stop · 528 Hz · Zen Temple</t>
        </is>
      </c>
      <c r="J289" s="3" t="inlineStr">
        <is>
          <t>Save this for the next hard moment.
Full piece (3 h): Calm Your Nervous System 🌿 Zen Temple Bells · 528 Hz · Music for Anxiety &amp; Sleep · 3 Hours
https://youtu.be/tt0cPixnquE
#anxietyrelief #calm #relaxingmusic #528hz #shorts</t>
        </is>
      </c>
      <c r="K289" s="2" t="inlineStr">
        <is>
          <t>anxiety relief, calming music, 528 hz, zen temple, Rin</t>
        </is>
      </c>
      <c r="L289" s="2" t="inlineStr">
        <is>
          <t>https://youtu.be/tt0cPixnquE</t>
        </is>
      </c>
      <c r="M289" s="2" t="inlineStr">
        <is>
          <t>528 Hz · calm</t>
        </is>
      </c>
      <c r="N289" s="3" t="inlineStr">
        <is>
          <t>Save this for the next hard moment. Full 3 h piece on YouTube: Rin.
#anxietyrelief #calm #relaxingmusic #528hz #meditation</t>
        </is>
      </c>
      <c r="O289" s="4" t="inlineStr">
        <is>
          <t>pendiente</t>
        </is>
      </c>
      <c r="P289" s="4" t="inlineStr"/>
      <c r="Q289" s="4" t="inlineStr"/>
      <c r="R289" s="4" t="inlineStr"/>
      <c r="S289" s="4" t="inlineStr"/>
    </row>
    <row r="290" ht="58" customHeight="1">
      <c r="A290" s="2" t="inlineStr">
        <is>
          <t>OBRA-042-S2</t>
        </is>
      </c>
      <c r="B290" s="2" t="inlineStr">
        <is>
          <t>OBRA-042</t>
        </is>
      </c>
      <c r="C290" s="2" t="n">
        <v>2</v>
      </c>
      <c r="D290" s="2" t="inlineStr">
        <is>
          <t>short-2.mp4</t>
        </is>
      </c>
      <c r="E290" s="2" t="n">
        <v>2761</v>
      </c>
      <c r="F290" s="2" t="n">
        <v>1.15</v>
      </c>
      <c r="G290" s="2" t="n">
        <v>9.6</v>
      </c>
      <c r="H290" s="2" t="inlineStr">
        <is>
          <t>breathe out longer than you breathe in</t>
        </is>
      </c>
      <c r="I290" s="3" t="inlineStr">
        <is>
          <t>Breathe out longer than you breathe in · 528 Hz · Zen Temple</t>
        </is>
      </c>
      <c r="J290" s="3" t="inlineStr">
        <is>
          <t>Headphones on. Exhale slowly.
Full piece (3 h): Calm Your Nervous System 🌿 Zen Temple Bells · 528 Hz · Music for Anxiety &amp; Sleep · 3 Hours
https://youtu.be/tt0cPixnquE
#anxietyrelief #calm #relaxingmusic #528hz #shorts</t>
        </is>
      </c>
      <c r="K290" s="2" t="inlineStr">
        <is>
          <t>anxiety relief, calming music, 528 hz, zen temple, Rin</t>
        </is>
      </c>
      <c r="L290" s="2" t="inlineStr">
        <is>
          <t>https://youtu.be/tt0cPixnquE</t>
        </is>
      </c>
      <c r="M290" s="2" t="inlineStr">
        <is>
          <t>528 Hz · exhale</t>
        </is>
      </c>
      <c r="N290" s="3" t="inlineStr">
        <is>
          <t>Headphones on. Exhale slowly. Full 3 h piece on YouTube: Rin.
#anxietyrelief #calm #relaxingmusic #528hz #meditation</t>
        </is>
      </c>
      <c r="O290" s="4" t="inlineStr">
        <is>
          <t>pendiente</t>
        </is>
      </c>
      <c r="P290" s="4" t="inlineStr"/>
      <c r="Q290" s="4" t="inlineStr"/>
      <c r="R290" s="4" t="inlineStr"/>
      <c r="S290" s="4" t="inlineStr"/>
    </row>
    <row r="291" ht="58" customHeight="1">
      <c r="A291" s="2" t="inlineStr">
        <is>
          <t>OBRA-042-S3</t>
        </is>
      </c>
      <c r="B291" s="2" t="inlineStr">
        <is>
          <t>OBRA-042</t>
        </is>
      </c>
      <c r="C291" s="2" t="n">
        <v>3</v>
      </c>
      <c r="D291" s="2" t="inlineStr">
        <is>
          <t>short-3.mp4</t>
        </is>
      </c>
      <c r="E291" s="2" t="n">
        <v>5432</v>
      </c>
      <c r="F291" s="2" t="n">
        <v>1.3</v>
      </c>
      <c r="G291" s="2" t="n">
        <v>19.2</v>
      </c>
      <c r="H291" s="2" t="inlineStr">
        <is>
          <t>a pause, just for you</t>
        </is>
      </c>
      <c r="I291" s="3" t="inlineStr">
        <is>
          <t>A pause, just for you · 528 Hz · Zen Temple</t>
        </is>
      </c>
      <c r="J291" s="3" t="inlineStr">
        <is>
          <t>Stay for one full breath.
Full piece (3 h): Calm Your Nervous System 🌿 Zen Temple Bells · 528 Hz · Music for Anxiety &amp; Sleep · 3 Hours
https://youtu.be/tt0cPixnquE
#anxietyrelief #calm #relaxingmusic #528hz #shorts</t>
        </is>
      </c>
      <c r="K291" s="2" t="inlineStr">
        <is>
          <t>anxiety relief, calming music, 528 hz, zen temple, Rin</t>
        </is>
      </c>
      <c r="L291" s="2" t="inlineStr">
        <is>
          <t>https://youtu.be/tt0cPixnquE</t>
        </is>
      </c>
      <c r="M291" s="2" t="inlineStr">
        <is>
          <t>528 Hz · pause</t>
        </is>
      </c>
      <c r="N291" s="3" t="inlineStr">
        <is>
          <t>Stay for one full breath. Full 3 h piece on YouTube: Rin.
#anxietyrelief #calm #relaxingmusic #528hz #meditation</t>
        </is>
      </c>
      <c r="O291" s="4" t="inlineStr">
        <is>
          <t>pendiente</t>
        </is>
      </c>
      <c r="P291" s="4" t="inlineStr"/>
      <c r="Q291" s="4" t="inlineStr"/>
      <c r="R291" s="4" t="inlineStr"/>
      <c r="S291" s="4" t="inlineStr"/>
    </row>
    <row r="292" ht="58" customHeight="1">
      <c r="A292" s="2" t="inlineStr">
        <is>
          <t>OBRA-042-S4</t>
        </is>
      </c>
      <c r="B292" s="2" t="inlineStr">
        <is>
          <t>OBRA-042</t>
        </is>
      </c>
      <c r="C292" s="2" t="n">
        <v>4</v>
      </c>
      <c r="D292" s="2" t="inlineStr">
        <is>
          <t>short-4.mp4</t>
        </is>
      </c>
      <c r="E292" s="2" t="n">
        <v>8104</v>
      </c>
      <c r="F292" s="2" t="n">
        <v>1.08</v>
      </c>
      <c r="G292" s="2" t="n">
        <v>28.8</v>
      </c>
      <c r="H292" s="2" t="inlineStr">
        <is>
          <t>slow down, one breath at a time</t>
        </is>
      </c>
      <c r="I292" s="3" t="inlineStr">
        <is>
          <t>Slow down, one breath at a time · 528 Hz · Zen Temple</t>
        </is>
      </c>
      <c r="J292" s="3" t="inlineStr">
        <is>
          <t>A small pause in the middle of the day.
Full piece (3 h): Calm Your Nervous System 🌿 Zen Temple Bells · 528 Hz · Music for Anxiety &amp; Sleep · 3 Hours
https://youtu.be/tt0cPixnquE
#anxietyrelief #calm #relaxingmusic #528hz #shorts</t>
        </is>
      </c>
      <c r="K292" s="2" t="inlineStr">
        <is>
          <t>anxiety relief, calming music, 528 hz, zen temple, Rin</t>
        </is>
      </c>
      <c r="L292" s="2" t="inlineStr">
        <is>
          <t>https://youtu.be/tt0cPixnquE</t>
        </is>
      </c>
      <c r="M292" s="2" t="inlineStr">
        <is>
          <t>528 Hz · breathe</t>
        </is>
      </c>
      <c r="N292" s="3" t="inlineStr">
        <is>
          <t>A small pause in the middle of the day. Full 3 h piece on YouTube: Rin.
#anxietyrelief #calm #relaxingmusic #528hz #meditation</t>
        </is>
      </c>
      <c r="O292" s="4" t="inlineStr">
        <is>
          <t>pendiente</t>
        </is>
      </c>
      <c r="P292" s="4" t="inlineStr"/>
      <c r="Q292" s="4" t="inlineStr"/>
      <c r="R292" s="4" t="inlineStr"/>
      <c r="S292" s="4" t="inlineStr"/>
    </row>
    <row r="293" ht="58" customHeight="1">
      <c r="A293" s="2" t="inlineStr">
        <is>
          <t>OBRA-042-S5</t>
        </is>
      </c>
      <c r="B293" s="2" t="inlineStr">
        <is>
          <t>OBRA-042</t>
        </is>
      </c>
      <c r="C293" s="2" t="n">
        <v>5</v>
      </c>
      <c r="D293" s="2" t="inlineStr">
        <is>
          <t>short-5.mp4</t>
        </is>
      </c>
      <c r="E293" s="2" t="n">
        <v>10775</v>
      </c>
      <c r="F293" s="2" t="n">
        <v>1.22</v>
      </c>
      <c r="G293" s="2" t="n">
        <v>38.4</v>
      </c>
      <c r="H293" s="2" t="inlineStr">
        <is>
          <t>before you begin</t>
        </is>
      </c>
      <c r="I293" s="3" t="inlineStr">
        <is>
          <t>Before you begin · 528 Hz · Zen Temple</t>
        </is>
      </c>
      <c r="J293" s="3" t="inlineStr">
        <is>
          <t>Send this to someone who needs a pause.
Full piece (3 h): Calm Your Nervous System 🌿 Zen Temple Bells · 528 Hz · Music for Anxiety &amp; Sleep · 3 Hours
https://youtu.be/tt0cPixnquE
#anxietyrelief #calm #relaxingmusic #528hz #shorts</t>
        </is>
      </c>
      <c r="K293" s="2" t="inlineStr">
        <is>
          <t>anxiety relief, calming music, 528 hz, zen temple, Rin</t>
        </is>
      </c>
      <c r="L293" s="2" t="inlineStr">
        <is>
          <t>https://youtu.be/tt0cPixnquE</t>
        </is>
      </c>
      <c r="M293" s="2" t="inlineStr">
        <is>
          <t>528 Hz · slow down</t>
        </is>
      </c>
      <c r="N293" s="3" t="inlineStr">
        <is>
          <t>Send this to someone who needs a pause. Full 3 h piece on YouTube: Rin.
#anxietyrelief #calm #relaxingmusic #528hz #meditation</t>
        </is>
      </c>
      <c r="O293" s="4" t="inlineStr">
        <is>
          <t>pendiente</t>
        </is>
      </c>
      <c r="P293" s="4" t="inlineStr"/>
      <c r="Q293" s="4" t="inlineStr"/>
      <c r="R293" s="4" t="inlineStr"/>
      <c r="S293" s="4" t="inlineStr"/>
    </row>
    <row r="294" ht="58" customHeight="1">
      <c r="A294" s="2" t="inlineStr">
        <is>
          <t>OBRA-042-S6</t>
        </is>
      </c>
      <c r="B294" s="2" t="inlineStr">
        <is>
          <t>OBRA-042</t>
        </is>
      </c>
      <c r="C294" s="2" t="n">
        <v>6</v>
      </c>
      <c r="D294" s="2" t="inlineStr">
        <is>
          <t>short-6.mp4</t>
        </is>
      </c>
      <c r="E294" s="2" t="n">
        <v>1426</v>
      </c>
      <c r="F294" s="2" t="n">
        <v>1.35</v>
      </c>
      <c r="G294" s="2" t="n">
        <v>4.8</v>
      </c>
      <c r="H294" s="2" t="inlineStr">
        <is>
          <t>you can put it down for now</t>
        </is>
      </c>
      <c r="I294" s="3" t="inlineStr">
        <is>
          <t>You can put it down for now · 528 Hz · Zen Temple</t>
        </is>
      </c>
      <c r="J294" s="3" t="inlineStr">
        <is>
          <t>Breathe with the sound for a moment.
Full piece (3 h): Calm Your Nervous System 🌿 Zen Temple Bells · 528 Hz · Music for Anxiety &amp; Sleep · 3 Hours
https://youtu.be/tt0cPixnquE
#anxietyrelief #calm #relaxingmusic #528hz #shorts</t>
        </is>
      </c>
      <c r="K294" s="2" t="inlineStr">
        <is>
          <t>anxiety relief, calming music, 528 hz, zen temple, Rin</t>
        </is>
      </c>
      <c r="L294" s="2" t="inlineStr">
        <is>
          <t>https://youtu.be/tt0cPixnquE</t>
        </is>
      </c>
      <c r="M294" s="2" t="inlineStr">
        <is>
          <t>528 Hz · let go</t>
        </is>
      </c>
      <c r="N294" s="3" t="inlineStr">
        <is>
          <t>Breathe with the sound for a moment. Full 3 h piece on YouTube: Rin.
#anxietyrelief #calm #relaxingmusic #528hz #meditation</t>
        </is>
      </c>
      <c r="O294" s="4" t="inlineStr">
        <is>
          <t>pendiente</t>
        </is>
      </c>
      <c r="P294" s="4" t="inlineStr"/>
      <c r="Q294" s="4" t="inlineStr"/>
      <c r="R294" s="4" t="inlineStr"/>
      <c r="S294" s="4" t="inlineStr"/>
    </row>
    <row r="295" ht="58" customHeight="1">
      <c r="A295" s="2" t="inlineStr">
        <is>
          <t>OBRA-042-S7</t>
        </is>
      </c>
      <c r="B295" s="2" t="inlineStr">
        <is>
          <t>OBRA-042</t>
        </is>
      </c>
      <c r="C295" s="2" t="n">
        <v>7</v>
      </c>
      <c r="D295" s="2" t="inlineStr">
        <is>
          <t>short-7.mp4</t>
        </is>
      </c>
      <c r="E295" s="2" t="n">
        <v>6768</v>
      </c>
      <c r="F295" s="2" t="n">
        <v>1.04</v>
      </c>
      <c r="G295" s="2" t="n">
        <v>33.6</v>
      </c>
      <c r="H295" s="2" t="inlineStr">
        <is>
          <t>one minute of quiet</t>
        </is>
      </c>
      <c r="I295" s="3" t="inlineStr">
        <is>
          <t>One minute of quiet · 528 Hz · Zen Temple</t>
        </is>
      </c>
      <c r="J295" s="3" t="inlineStr">
        <is>
          <t>Come back to this when you need it.
Full piece (3 h): Calm Your Nervous System 🌿 Zen Temple Bells · 528 Hz · Music for Anxiety &amp; Sleep · 3 Hours
https://youtu.be/tt0cPixnquE
#anxietyrelief #calm #relaxingmusic #528hz #shorts</t>
        </is>
      </c>
      <c r="K295" s="2" t="inlineStr">
        <is>
          <t>anxiety relief, calming music, 528 hz, zen temple, Rin</t>
        </is>
      </c>
      <c r="L295" s="2" t="inlineStr">
        <is>
          <t>https://youtu.be/tt0cPixnquE</t>
        </is>
      </c>
      <c r="M295" s="2" t="inlineStr">
        <is>
          <t>528 Hz · quiet</t>
        </is>
      </c>
      <c r="N295" s="3" t="inlineStr">
        <is>
          <t>Come back to this when you need it. Full 3 h piece on YouTube: Rin.
#anxietyrelief #calm #relaxingmusic #528hz #meditation</t>
        </is>
      </c>
      <c r="O295" s="4" t="inlineStr">
        <is>
          <t>pendiente</t>
        </is>
      </c>
      <c r="P295" s="4" t="inlineStr"/>
      <c r="Q295" s="4" t="inlineStr"/>
      <c r="R295" s="4" t="inlineStr"/>
      <c r="S295" s="4" t="inlineStr"/>
    </row>
    <row r="296" ht="58" customHeight="1">
      <c r="A296" s="2" t="inlineStr">
        <is>
          <t>OBRA-043-S1</t>
        </is>
      </c>
      <c r="B296" s="2" t="inlineStr">
        <is>
          <t>OBRA-043</t>
        </is>
      </c>
      <c r="C296" s="2" t="n">
        <v>1</v>
      </c>
      <c r="D296" s="2" t="inlineStr">
        <is>
          <t>short-1.mp4</t>
        </is>
      </c>
      <c r="E296" s="2" t="n">
        <v>90</v>
      </c>
      <c r="F296" s="2" t="n">
        <v>1</v>
      </c>
      <c r="G296" s="2" t="n">
        <v>0</v>
      </c>
      <c r="H296" s="2" t="inlineStr">
        <is>
          <t>to fall asleep</t>
        </is>
      </c>
      <c r="I296" s="3" t="inlineStr">
        <is>
          <t>To fall asleep · 432 Hz · Gentle Rain</t>
        </is>
      </c>
      <c r="J296" s="3" t="inlineStr">
        <is>
          <t>Save this for tonight.
Full piece (3 h): Dark Screen Sleep Music 🌙 Gentle Rain for Deep Sleep · Fall Asleep Fast · 432 Hz · 3 Hours
https://youtu.be/YtFJIL4q4SI
#sleepmusic #sleep #relaxingmusic #432hz #shorts</t>
        </is>
      </c>
      <c r="K296" s="2" t="inlineStr">
        <is>
          <t>sleep music, deep sleep, 432 hz, gentle rain, Rin</t>
        </is>
      </c>
      <c r="L296" s="2" t="inlineStr">
        <is>
          <t>https://youtu.be/YtFJIL4q4SI</t>
        </is>
      </c>
      <c r="M296" s="2" t="inlineStr">
        <is>
          <t>432 Hz · sleep</t>
        </is>
      </c>
      <c r="N296" s="3" t="inlineStr">
        <is>
          <t>Save this for tonight. Full 3 h piece on YouTube: Rin.
#sleepmusic #sleep #relaxingmusic #432hz #meditation</t>
        </is>
      </c>
      <c r="O296" s="4" t="inlineStr">
        <is>
          <t>pendiente</t>
        </is>
      </c>
      <c r="P296" s="4" t="inlineStr"/>
      <c r="Q296" s="4" t="inlineStr"/>
      <c r="R296" s="4" t="inlineStr"/>
      <c r="S296" s="4" t="inlineStr"/>
    </row>
    <row r="297" ht="58" customHeight="1">
      <c r="A297" s="2" t="inlineStr">
        <is>
          <t>OBRA-043-S2</t>
        </is>
      </c>
      <c r="B297" s="2" t="inlineStr">
        <is>
          <t>OBRA-043</t>
        </is>
      </c>
      <c r="C297" s="2" t="n">
        <v>2</v>
      </c>
      <c r="D297" s="2" t="inlineStr">
        <is>
          <t>short-2.mp4</t>
        </is>
      </c>
      <c r="E297" s="2" t="n">
        <v>5432</v>
      </c>
      <c r="F297" s="2" t="n">
        <v>1.15</v>
      </c>
      <c r="G297" s="2" t="n">
        <v>9.6</v>
      </c>
      <c r="H297" s="2" t="inlineStr">
        <is>
          <t>let the day go quiet</t>
        </is>
      </c>
      <c r="I297" s="3" t="inlineStr">
        <is>
          <t>Let the day go quiet · 432 Hz · Gentle Rain</t>
        </is>
      </c>
      <c r="J297" s="3" t="inlineStr">
        <is>
          <t>Lights off, volume low.
Full piece (3 h): Dark Screen Sleep Music 🌙 Gentle Rain for Deep Sleep · Fall Asleep Fast · 432 Hz · 3 Hours
https://youtu.be/YtFJIL4q4SI
#sleepmusic #sleep #relaxingmusic #432hz #shorts</t>
        </is>
      </c>
      <c r="K297" s="2" t="inlineStr">
        <is>
          <t>sleep music, deep sleep, 432 hz, gentle rain, Rin</t>
        </is>
      </c>
      <c r="L297" s="2" t="inlineStr">
        <is>
          <t>https://youtu.be/YtFJIL4q4SI</t>
        </is>
      </c>
      <c r="M297" s="2" t="inlineStr">
        <is>
          <t>432 Hz · night</t>
        </is>
      </c>
      <c r="N297" s="3" t="inlineStr">
        <is>
          <t>Lights off, volume low. Full 3 h piece on YouTube: Rin.
#sleepmusic #sleep #relaxingmusic #432hz #meditation</t>
        </is>
      </c>
      <c r="O297" s="4" t="inlineStr">
        <is>
          <t>pendiente</t>
        </is>
      </c>
      <c r="P297" s="4" t="inlineStr"/>
      <c r="Q297" s="4" t="inlineStr"/>
      <c r="R297" s="4" t="inlineStr"/>
      <c r="S297" s="4" t="inlineStr"/>
    </row>
    <row r="298" ht="58" customHeight="1">
      <c r="A298" s="2" t="inlineStr">
        <is>
          <t>OBRA-043-S3</t>
        </is>
      </c>
      <c r="B298" s="2" t="inlineStr">
        <is>
          <t>OBRA-043</t>
        </is>
      </c>
      <c r="C298" s="2" t="n">
        <v>3</v>
      </c>
      <c r="D298" s="2" t="inlineStr">
        <is>
          <t>short-3.mp4</t>
        </is>
      </c>
      <c r="E298" s="2" t="n">
        <v>10775</v>
      </c>
      <c r="F298" s="2" t="n">
        <v>1.3</v>
      </c>
      <c r="G298" s="2" t="n">
        <v>19.2</v>
      </c>
      <c r="H298" s="2" t="inlineStr">
        <is>
          <t>lights off, breathe slower</t>
        </is>
      </c>
      <c r="I298" s="3" t="inlineStr">
        <is>
          <t>Lights off, breathe slower · 432 Hz · Gentle Rain</t>
        </is>
      </c>
      <c r="J298" s="3" t="inlineStr">
        <is>
          <t>Stay until your breathing slows.
Full piece (3 h): Dark Screen Sleep Music 🌙 Gentle Rain for Deep Sleep · Fall Asleep Fast · 432 Hz · 3 Hours
https://youtu.be/YtFJIL4q4SI
#sleepmusic #sleep #relaxingmusic #432hz #shorts</t>
        </is>
      </c>
      <c r="K298" s="2" t="inlineStr">
        <is>
          <t>sleep music, deep sleep, 432 hz, gentle rain, Rin</t>
        </is>
      </c>
      <c r="L298" s="2" t="inlineStr">
        <is>
          <t>https://youtu.be/YtFJIL4q4SI</t>
        </is>
      </c>
      <c r="M298" s="2" t="inlineStr">
        <is>
          <t>432 Hz · rest</t>
        </is>
      </c>
      <c r="N298" s="3" t="inlineStr">
        <is>
          <t>Stay until your breathing slows. Full 3 h piece on YouTube: Rin.
#sleepmusic #sleep #relaxingmusic #432hz #meditation</t>
        </is>
      </c>
      <c r="O298" s="4" t="inlineStr">
        <is>
          <t>pendiente</t>
        </is>
      </c>
      <c r="P298" s="4" t="inlineStr"/>
      <c r="Q298" s="4" t="inlineStr"/>
      <c r="R298" s="4" t="inlineStr"/>
      <c r="S298" s="4" t="inlineStr"/>
    </row>
    <row r="299" ht="58" customHeight="1">
      <c r="A299" s="2" t="inlineStr">
        <is>
          <t>OBRA-044-S1</t>
        </is>
      </c>
      <c r="B299" s="2" t="inlineStr">
        <is>
          <t>OBRA-044</t>
        </is>
      </c>
      <c r="C299" s="2" t="n">
        <v>1</v>
      </c>
      <c r="D299" s="2" t="inlineStr">
        <is>
          <t>short-1.mp4</t>
        </is>
      </c>
      <c r="E299" s="2" t="n">
        <v>90</v>
      </c>
      <c r="F299" s="2" t="n">
        <v>1</v>
      </c>
      <c r="G299" s="2" t="n">
        <v>0</v>
      </c>
      <c r="H299" s="2" t="inlineStr">
        <is>
          <t>Breathe out longer than you breathe in</t>
        </is>
      </c>
      <c r="I299" s="3" t="inlineStr">
        <is>
          <t>Breathe out longer than you breathe in · 432 Hz · Theta Waves</t>
        </is>
      </c>
      <c r="J299" s="3" t="inlineStr">
        <is>
          <t>🎧 Use headphones for the best experience. Save this for tonight.
Full piece (3 h): Deep Sleep Theta Waves 🌙 Turn Off Your Thoughts · Dark Screen · Fall Asleep Fast · 3 Hours
https://youtu.be/BeFuK1CnmII
#sleepmusic #sleep #relaxingmusic #432hz #shorts</t>
        </is>
      </c>
      <c r="K299" s="2" t="inlineStr">
        <is>
          <t>sleep music, deep sleep, 432 hz, theta waves, Rin</t>
        </is>
      </c>
      <c r="L299" s="2" t="inlineStr">
        <is>
          <t>https://youtu.be/BeFuK1CnmII</t>
        </is>
      </c>
      <c r="M299" s="2" t="inlineStr">
        <is>
          <t>432 Hz · sleep</t>
        </is>
      </c>
      <c r="N299" s="3" t="inlineStr">
        <is>
          <t>🎧 Use headphones for the best experience. Save this for tonight. Full 3 h piece on YouTube: Rin.
#sleepmusic #sleep #relaxingmusic #432hz #meditation</t>
        </is>
      </c>
      <c r="O299" s="4" t="inlineStr">
        <is>
          <t>pendiente</t>
        </is>
      </c>
      <c r="P299" s="4" t="inlineStr"/>
      <c r="Q299" s="4" t="inlineStr"/>
      <c r="R299" s="4" t="inlineStr"/>
      <c r="S299" s="4" t="inlineStr"/>
    </row>
    <row r="300" ht="58" customHeight="1">
      <c r="A300" s="2" t="inlineStr">
        <is>
          <t>OBRA-044-S2</t>
        </is>
      </c>
      <c r="B300" s="2" t="inlineStr">
        <is>
          <t>OBRA-044</t>
        </is>
      </c>
      <c r="C300" s="2" t="n">
        <v>2</v>
      </c>
      <c r="D300" s="2" t="inlineStr">
        <is>
          <t>short-2.mp4</t>
        </is>
      </c>
      <c r="E300" s="2" t="n">
        <v>5432</v>
      </c>
      <c r="F300" s="2" t="n">
        <v>1.15</v>
      </c>
      <c r="G300" s="2" t="n">
        <v>9.6</v>
      </c>
      <c r="H300" s="2" t="inlineStr">
        <is>
          <t>Unclench your jaw. Let the pillow hold you</t>
        </is>
      </c>
      <c r="I300" s="3" t="inlineStr">
        <is>
          <t>Unclench your jaw. Let the pillow hold you · 432 Hz · Theta Waves</t>
        </is>
      </c>
      <c r="J300" s="3" t="inlineStr">
        <is>
          <t>🎧 Use headphones for the best experience. Lights off, volume low.
Full piece (3 h): Deep Sleep Theta Waves 🌙 Turn Off Your Thoughts · Dark Screen · Fall Asleep Fast · 3 Hours
https://youtu.be/BeFuK1CnmII
#sleepmusic #sleep #relaxingmusic #432hz #shorts</t>
        </is>
      </c>
      <c r="K300" s="2" t="inlineStr">
        <is>
          <t>sleep music, deep sleep, 432 hz, theta waves, Rin</t>
        </is>
      </c>
      <c r="L300" s="2" t="inlineStr">
        <is>
          <t>https://youtu.be/BeFuK1CnmII</t>
        </is>
      </c>
      <c r="M300" s="2" t="inlineStr">
        <is>
          <t>432 Hz · night</t>
        </is>
      </c>
      <c r="N300" s="3" t="inlineStr">
        <is>
          <t>🎧 Use headphones for the best experience. Lights off, volume low. Full 3 h piece on YouTube: Rin.
#sleepmusic #sleep #relaxingmusic #432hz #meditation</t>
        </is>
      </c>
      <c r="O300" s="4" t="inlineStr">
        <is>
          <t>pendiente</t>
        </is>
      </c>
      <c r="P300" s="4" t="inlineStr"/>
      <c r="Q300" s="4" t="inlineStr"/>
      <c r="R300" s="4" t="inlineStr"/>
      <c r="S300" s="4" t="inlineStr"/>
    </row>
    <row r="301" ht="58" customHeight="1">
      <c r="A301" s="2" t="inlineStr">
        <is>
          <t>OBRA-044-S3</t>
        </is>
      </c>
      <c r="B301" s="2" t="inlineStr">
        <is>
          <t>OBRA-044</t>
        </is>
      </c>
      <c r="C301" s="2" t="n">
        <v>3</v>
      </c>
      <c r="D301" s="2" t="inlineStr">
        <is>
          <t>short-3.mp4</t>
        </is>
      </c>
      <c r="E301" s="2" t="n">
        <v>10775</v>
      </c>
      <c r="F301" s="2" t="n">
        <v>1.3</v>
      </c>
      <c r="G301" s="2" t="n">
        <v>19.2</v>
      </c>
      <c r="H301" s="2" t="inlineStr">
        <is>
          <t>Close your eyes. Just listen</t>
        </is>
      </c>
      <c r="I301" s="3" t="inlineStr">
        <is>
          <t>Close your eyes. Just listen · 432 Hz · Theta Waves</t>
        </is>
      </c>
      <c r="J301" s="3" t="inlineStr">
        <is>
          <t>🎧 Use headphones for the best experience. Stay until your breathing slows.
Full piece (3 h): Deep Sleep Theta Waves 🌙 Turn Off Your Thoughts · Dark Screen · Fall Asleep Fast · 3 Hours
https://youtu.be/BeFuK1CnmII
#sleepmusic #sleep #relaxingmusic #432hz #shorts</t>
        </is>
      </c>
      <c r="K301" s="2" t="inlineStr">
        <is>
          <t>sleep music, deep sleep, 432 hz, theta waves, Rin</t>
        </is>
      </c>
      <c r="L301" s="2" t="inlineStr">
        <is>
          <t>https://youtu.be/BeFuK1CnmII</t>
        </is>
      </c>
      <c r="M301" s="2" t="inlineStr">
        <is>
          <t>432 Hz · rest</t>
        </is>
      </c>
      <c r="N301" s="3" t="inlineStr">
        <is>
          <t>🎧 Use headphones for the best experience. Stay until your breathing slows. Full 3 h piece on YouTube: Rin.
#sleepmusic #sleep #relaxingmusic #432hz #meditation</t>
        </is>
      </c>
      <c r="O301" s="4" t="inlineStr">
        <is>
          <t>pendiente</t>
        </is>
      </c>
      <c r="P301" s="4" t="inlineStr"/>
      <c r="Q301" s="4" t="inlineStr"/>
      <c r="R301" s="4" t="inlineStr"/>
      <c r="S301" s="4" t="inlineStr"/>
    </row>
    <row r="302" ht="58" customHeight="1">
      <c r="A302" s="2" t="inlineStr">
        <is>
          <t>OBRA-045-S1</t>
        </is>
      </c>
      <c r="B302" s="2" t="inlineStr">
        <is>
          <t>OBRA-045</t>
        </is>
      </c>
      <c r="C302" s="2" t="n">
        <v>1</v>
      </c>
      <c r="D302" s="2" t="inlineStr">
        <is>
          <t>short-1.mp4</t>
        </is>
      </c>
      <c r="E302" s="2" t="n">
        <v>90</v>
      </c>
      <c r="F302" s="2" t="n">
        <v>1</v>
      </c>
      <c r="G302" s="2" t="n">
        <v>0</v>
      </c>
      <c r="H302" s="2" t="inlineStr">
        <is>
          <t>Breathe out longer than you breathe in</t>
        </is>
      </c>
      <c r="I302" s="3" t="inlineStr">
        <is>
          <t>Breathe out longer than you breathe in · 432 Hz · Guqin and Xiao Flute</t>
        </is>
      </c>
      <c r="J302" s="3" t="inlineStr">
        <is>
          <t>Save this for tonight.
Full piece (3 h): Woke Up at 3 AM? 🌙 Chinese Guqin &amp; Xiao Flute to Fall Back Asleep · Dark Screen · 3 Hours
#sleepmusic #sleep #relaxingmusic #432hz #shorts</t>
        </is>
      </c>
      <c r="K302" s="2" t="inlineStr">
        <is>
          <t>sleep music, deep sleep, 432 hz, guqin and xiao flute, Rin</t>
        </is>
      </c>
      <c r="L302" s="2" t="inlineStr"/>
      <c r="M302" s="2" t="inlineStr">
        <is>
          <t>432 Hz · sleep</t>
        </is>
      </c>
      <c r="N302" s="3" t="inlineStr">
        <is>
          <t>Save this for tonight. Full 3 h piece on YouTube: Rin.
#sleepmusic #sleep #relaxingmusic #432hz #meditation</t>
        </is>
      </c>
      <c r="O302" s="4" t="inlineStr">
        <is>
          <t>pendiente</t>
        </is>
      </c>
      <c r="P302" s="4" t="inlineStr"/>
      <c r="Q302" s="4" t="inlineStr"/>
      <c r="R302" s="4" t="inlineStr"/>
      <c r="S302" s="4" t="inlineStr"/>
    </row>
    <row r="303" ht="58" customHeight="1">
      <c r="A303" s="2" t="inlineStr">
        <is>
          <t>OBRA-045-S2</t>
        </is>
      </c>
      <c r="B303" s="2" t="inlineStr">
        <is>
          <t>OBRA-045</t>
        </is>
      </c>
      <c r="C303" s="2" t="n">
        <v>2</v>
      </c>
      <c r="D303" s="2" t="inlineStr">
        <is>
          <t>short-2.mp4</t>
        </is>
      </c>
      <c r="E303" s="2" t="n">
        <v>960</v>
      </c>
      <c r="F303" s="2" t="n">
        <v>1.15</v>
      </c>
      <c r="G303" s="2" t="n">
        <v>9.6</v>
      </c>
      <c r="H303" s="2" t="inlineStr">
        <is>
          <t>Unclench your jaw. Let the pillow hold you</t>
        </is>
      </c>
      <c r="I303" s="3" t="inlineStr">
        <is>
          <t>Unclench your jaw. Let the pillow hold you · 432 Hz · Guqin and Xiao Flute</t>
        </is>
      </c>
      <c r="J303" s="3" t="inlineStr">
        <is>
          <t>Lights off, volume low.
Full piece (3 h): Woke Up at 3 AM? 🌙 Chinese Guqin &amp; Xiao Flute to Fall Back Asleep · Dark Screen · 3 Hours
#sleepmusic #sleep #relaxingmusic #432hz #shorts</t>
        </is>
      </c>
      <c r="K303" s="2" t="inlineStr">
        <is>
          <t>sleep music, deep sleep, 432 hz, guqin and xiao flute, Rin</t>
        </is>
      </c>
      <c r="L303" s="2" t="inlineStr"/>
      <c r="M303" s="2" t="inlineStr">
        <is>
          <t>432 Hz · night</t>
        </is>
      </c>
      <c r="N303" s="3" t="inlineStr">
        <is>
          <t>Lights off, volume low. Full 3 h piece on YouTube: Rin.
#sleepmusic #sleep #relaxingmusic #432hz #meditation</t>
        </is>
      </c>
      <c r="O303" s="4" t="inlineStr">
        <is>
          <t>pendiente</t>
        </is>
      </c>
      <c r="P303" s="4" t="inlineStr"/>
      <c r="Q303" s="4" t="inlineStr"/>
      <c r="R303" s="4" t="inlineStr"/>
      <c r="S303" s="4" t="inlineStr"/>
    </row>
    <row r="304" ht="58" customHeight="1">
      <c r="A304" s="2" t="inlineStr">
        <is>
          <t>OBRA-045-S3</t>
        </is>
      </c>
      <c r="B304" s="2" t="inlineStr">
        <is>
          <t>OBRA-045</t>
        </is>
      </c>
      <c r="C304" s="2" t="n">
        <v>3</v>
      </c>
      <c r="D304" s="2" t="inlineStr">
        <is>
          <t>short-3.mp4</t>
        </is>
      </c>
      <c r="E304" s="2" t="n">
        <v>1980</v>
      </c>
      <c r="F304" s="2" t="n">
        <v>1.3</v>
      </c>
      <c r="G304" s="2" t="n">
        <v>19.2</v>
      </c>
      <c r="H304" s="2" t="inlineStr">
        <is>
          <t>Close your eyes. Just listen</t>
        </is>
      </c>
      <c r="I304" s="3" t="inlineStr">
        <is>
          <t>Close your eyes. Just listen · 432 Hz · Guqin and Xiao Flute</t>
        </is>
      </c>
      <c r="J304" s="3" t="inlineStr">
        <is>
          <t>Stay until your breathing slows.
Full piece (3 h): Woke Up at 3 AM? 🌙 Chinese Guqin &amp; Xiao Flute to Fall Back Asleep · Dark Screen · 3 Hours
#sleepmusic #sleep #relaxingmusic #432hz #shorts</t>
        </is>
      </c>
      <c r="K304" s="2" t="inlineStr">
        <is>
          <t>sleep music, deep sleep, 432 hz, guqin and xiao flute, Rin</t>
        </is>
      </c>
      <c r="L304" s="2" t="inlineStr"/>
      <c r="M304" s="2" t="inlineStr">
        <is>
          <t>432 Hz · rest</t>
        </is>
      </c>
      <c r="N304" s="3" t="inlineStr">
        <is>
          <t>Stay until your breathing slows. Full 3 h piece on YouTube: Rin.
#sleepmusic #sleep #relaxingmusic #432hz #meditation</t>
        </is>
      </c>
      <c r="O304" s="4" t="inlineStr">
        <is>
          <t>pendiente</t>
        </is>
      </c>
      <c r="P304" s="4" t="inlineStr"/>
      <c r="Q304" s="4" t="inlineStr"/>
      <c r="R304" s="4" t="inlineStr"/>
      <c r="S304" s="4" t="inlineStr"/>
    </row>
    <row r="305" ht="58" customHeight="1">
      <c r="A305" s="2" t="inlineStr">
        <is>
          <t>OBRA-046-S1</t>
        </is>
      </c>
      <c r="B305" s="2" t="inlineStr">
        <is>
          <t>OBRA-046</t>
        </is>
      </c>
      <c r="C305" s="2" t="n">
        <v>1</v>
      </c>
      <c r="D305" s="2" t="inlineStr">
        <is>
          <t>short-1.mp4</t>
        </is>
      </c>
      <c r="E305" s="2" t="n">
        <v>90</v>
      </c>
      <c r="F305" s="2" t="n">
        <v>1</v>
      </c>
      <c r="G305" s="2" t="n">
        <v>0</v>
      </c>
      <c r="H305" s="2" t="inlineStr">
        <is>
          <t>Breathe out longer than you breathe in</t>
        </is>
      </c>
      <c r="I305" s="3" t="inlineStr">
        <is>
          <t>Breathe out longer than you breathe in · 432 Hz · Guqin and Xiao Flute</t>
        </is>
      </c>
      <c r="J305" s="3" t="inlineStr">
        <is>
          <t>Save this for tonight.
Full piece (10 min): 3 AM Reset 🌙 10 Minutes of Chinese Guqin to Fall Back Asleep · Sleep Music
#sleepmusic #sleep #relaxingmusic #432hz #shorts</t>
        </is>
      </c>
      <c r="K305" s="2" t="inlineStr">
        <is>
          <t>sleep music, deep sleep, 432 hz, guqin and xiao flute, Rin</t>
        </is>
      </c>
      <c r="L305" s="2" t="inlineStr"/>
      <c r="M305" s="2" t="inlineStr">
        <is>
          <t>432 Hz · sleep</t>
        </is>
      </c>
      <c r="N305" s="3" t="inlineStr">
        <is>
          <t>Save this for tonight. Full 10 min piece on YouTube: Rin.
#sleepmusic #sleep #relaxingmusic #432hz #meditation</t>
        </is>
      </c>
      <c r="O305" s="4" t="inlineStr">
        <is>
          <t>pendiente</t>
        </is>
      </c>
      <c r="P305" s="4" t="inlineStr"/>
      <c r="Q305" s="4" t="inlineStr"/>
      <c r="R305" s="4" t="inlineStr"/>
      <c r="S305" s="4" t="inlineStr"/>
    </row>
    <row r="306" ht="58" customHeight="1">
      <c r="A306" s="2" t="inlineStr">
        <is>
          <t>OBRA-046-S2</t>
        </is>
      </c>
      <c r="B306" s="2" t="inlineStr">
        <is>
          <t>OBRA-046</t>
        </is>
      </c>
      <c r="C306" s="2" t="n">
        <v>2</v>
      </c>
      <c r="D306" s="2" t="inlineStr">
        <is>
          <t>short-2.mp4</t>
        </is>
      </c>
      <c r="E306" s="2" t="n">
        <v>332</v>
      </c>
      <c r="F306" s="2" t="n">
        <v>1.15</v>
      </c>
      <c r="G306" s="2" t="n">
        <v>9.6</v>
      </c>
      <c r="H306" s="2" t="inlineStr">
        <is>
          <t>Unclench your jaw. Let the pillow hold you</t>
        </is>
      </c>
      <c r="I306" s="3" t="inlineStr">
        <is>
          <t>Unclench your jaw. Let the pillow hold you · 432 Hz · Guqin and Xiao Flute</t>
        </is>
      </c>
      <c r="J306" s="3" t="inlineStr">
        <is>
          <t>Lights off, volume low.
Full piece (10 min): 3 AM Reset 🌙 10 Minutes of Chinese Guqin to Fall Back Asleep · Sleep Music
#sleepmusic #sleep #relaxingmusic #432hz #shorts</t>
        </is>
      </c>
      <c r="K306" s="2" t="inlineStr">
        <is>
          <t>sleep music, deep sleep, 432 hz, guqin and xiao flute, Rin</t>
        </is>
      </c>
      <c r="L306" s="2" t="inlineStr"/>
      <c r="M306" s="2" t="inlineStr">
        <is>
          <t>432 Hz · night</t>
        </is>
      </c>
      <c r="N306" s="3" t="inlineStr">
        <is>
          <t>Lights off, volume low. Full 10 min piece on YouTube: Rin.
#sleepmusic #sleep #relaxingmusic #432hz #meditation</t>
        </is>
      </c>
      <c r="O306" s="4" t="inlineStr">
        <is>
          <t>pendiente</t>
        </is>
      </c>
      <c r="P306" s="4" t="inlineStr"/>
      <c r="Q306" s="4" t="inlineStr"/>
      <c r="R306" s="4" t="inlineStr"/>
      <c r="S306" s="4" t="inlineStr"/>
    </row>
    <row r="307" ht="58" customHeight="1">
      <c r="A307" s="2" t="inlineStr">
        <is>
          <t>OBRA-046-S3</t>
        </is>
      </c>
      <c r="B307" s="2" t="inlineStr">
        <is>
          <t>OBRA-046</t>
        </is>
      </c>
      <c r="C307" s="2" t="n">
        <v>3</v>
      </c>
      <c r="D307" s="2" t="inlineStr">
        <is>
          <t>short-3.mp4</t>
        </is>
      </c>
      <c r="E307" s="2" t="n">
        <v>575</v>
      </c>
      <c r="F307" s="2" t="n">
        <v>1.3</v>
      </c>
      <c r="G307" s="2" t="n">
        <v>19.2</v>
      </c>
      <c r="H307" s="2" t="inlineStr">
        <is>
          <t>Close your eyes. Just listen</t>
        </is>
      </c>
      <c r="I307" s="3" t="inlineStr">
        <is>
          <t>Close your eyes. Just listen · 432 Hz · Guqin and Xiao Flute</t>
        </is>
      </c>
      <c r="J307" s="3" t="inlineStr">
        <is>
          <t>Stay until your breathing slows.
Full piece (10 min): 3 AM Reset 🌙 10 Minutes of Chinese Guqin to Fall Back Asleep · Sleep Music
#sleepmusic #sleep #relaxingmusic #432hz #shorts</t>
        </is>
      </c>
      <c r="K307" s="2" t="inlineStr">
        <is>
          <t>sleep music, deep sleep, 432 hz, guqin and xiao flute, Rin</t>
        </is>
      </c>
      <c r="L307" s="2" t="inlineStr"/>
      <c r="M307" s="2" t="inlineStr">
        <is>
          <t>432 Hz · rest</t>
        </is>
      </c>
      <c r="N307" s="3" t="inlineStr">
        <is>
          <t>Stay until your breathing slows. Full 10 min piece on YouTube: Rin.
#sleepmusic #sleep #relaxingmusic #432hz #meditation</t>
        </is>
      </c>
      <c r="O307" s="4" t="inlineStr">
        <is>
          <t>pendiente</t>
        </is>
      </c>
      <c r="P307" s="4" t="inlineStr"/>
      <c r="Q307" s="4" t="inlineStr"/>
      <c r="R307" s="4" t="inlineStr"/>
      <c r="S307" s="4" t="inlineStr"/>
    </row>
    <row r="308" ht="58" customHeight="1">
      <c r="A308" s="2" t="inlineStr">
        <is>
          <t>OBRA-047-S1</t>
        </is>
      </c>
      <c r="B308" s="2" t="inlineStr">
        <is>
          <t>OBRA-047</t>
        </is>
      </c>
      <c r="C308" s="2" t="n">
        <v>1</v>
      </c>
      <c r="D308" s="2" t="inlineStr">
        <is>
          <t>short-1.mp4</t>
        </is>
      </c>
      <c r="E308" s="2" t="n">
        <v>90</v>
      </c>
      <c r="F308" s="2" t="n">
        <v>1</v>
      </c>
      <c r="G308" s="2" t="n">
        <v>0</v>
      </c>
      <c r="H308" s="2" t="inlineStr">
        <is>
          <t>Breathe out longer than you breathe in</t>
        </is>
      </c>
      <c r="I308" s="3" t="inlineStr">
        <is>
          <t>Breathe out longer than you breathe in · 528 Hz · Zen Temple</t>
        </is>
      </c>
      <c r="J308" s="3" t="inlineStr">
        <is>
          <t>Save this for the next hard moment.
Full piece (5 min): 5-Minute Nervous System Reset 🔔 Zen Temple Bells to Calm Anxiety Fast · 528 Hz
#anxietyrelief #calm #relaxingmusic #528hz #shorts</t>
        </is>
      </c>
      <c r="K308" s="2" t="inlineStr">
        <is>
          <t>anxiety relief, calming music, 528 hz, zen temple, Rin</t>
        </is>
      </c>
      <c r="L308" s="2" t="inlineStr"/>
      <c r="M308" s="2" t="inlineStr">
        <is>
          <t>528 Hz · calm</t>
        </is>
      </c>
      <c r="N308" s="3" t="inlineStr">
        <is>
          <t>Save this for the next hard moment. Full 5 min piece on YouTube: Rin.
#anxietyrelief #calm #relaxingmusic #528hz #meditation</t>
        </is>
      </c>
      <c r="O308" s="4" t="inlineStr">
        <is>
          <t>pendiente</t>
        </is>
      </c>
      <c r="P308" s="4" t="inlineStr"/>
      <c r="Q308" s="4" t="inlineStr"/>
      <c r="R308" s="4" t="inlineStr"/>
      <c r="S308" s="4" t="inlineStr"/>
    </row>
    <row r="309" ht="58" customHeight="1">
      <c r="A309" s="2" t="inlineStr">
        <is>
          <t>OBRA-047-S2</t>
        </is>
      </c>
      <c r="B309" s="2" t="inlineStr">
        <is>
          <t>OBRA-047</t>
        </is>
      </c>
      <c r="C309" s="2" t="n">
        <v>2</v>
      </c>
      <c r="D309" s="2" t="inlineStr">
        <is>
          <t>short-2.mp4</t>
        </is>
      </c>
      <c r="E309" s="2" t="n">
        <v>182</v>
      </c>
      <c r="F309" s="2" t="n">
        <v>1.15</v>
      </c>
      <c r="G309" s="2" t="n">
        <v>9.6</v>
      </c>
      <c r="H309" s="2" t="inlineStr">
        <is>
          <t>Drop your shoulders. Unclench your jaw</t>
        </is>
      </c>
      <c r="I309" s="3" t="inlineStr">
        <is>
          <t>Drop your shoulders. Unclench your jaw · 528 Hz · Zen Temple</t>
        </is>
      </c>
      <c r="J309" s="3" t="inlineStr">
        <is>
          <t>Headphones on. Exhale slowly.
Full piece (5 min): 5-Minute Nervous System Reset 🔔 Zen Temple Bells to Calm Anxiety Fast · 528 Hz
#anxietyrelief #calm #relaxingmusic #528hz #shorts</t>
        </is>
      </c>
      <c r="K309" s="2" t="inlineStr">
        <is>
          <t>anxiety relief, calming music, 528 hz, zen temple, Rin</t>
        </is>
      </c>
      <c r="L309" s="2" t="inlineStr"/>
      <c r="M309" s="2" t="inlineStr">
        <is>
          <t>528 Hz · exhale</t>
        </is>
      </c>
      <c r="N309" s="3" t="inlineStr">
        <is>
          <t>Headphones on. Exhale slowly. Full 5 min piece on YouTube: Rin.
#anxietyrelief #calm #relaxingmusic #528hz #meditation</t>
        </is>
      </c>
      <c r="O309" s="4" t="inlineStr">
        <is>
          <t>pendiente</t>
        </is>
      </c>
      <c r="P309" s="4" t="inlineStr"/>
      <c r="Q309" s="4" t="inlineStr"/>
      <c r="R309" s="4" t="inlineStr"/>
      <c r="S309" s="4" t="inlineStr"/>
    </row>
    <row r="310" ht="58" customHeight="1">
      <c r="A310" s="2" t="inlineStr">
        <is>
          <t>OBRA-047-S3</t>
        </is>
      </c>
      <c r="B310" s="2" t="inlineStr">
        <is>
          <t>OBRA-047</t>
        </is>
      </c>
      <c r="C310" s="2" t="n">
        <v>3</v>
      </c>
      <c r="D310" s="2" t="inlineStr">
        <is>
          <t>short-3.mp4</t>
        </is>
      </c>
      <c r="E310" s="2" t="n">
        <v>275</v>
      </c>
      <c r="F310" s="2" t="n">
        <v>1.3</v>
      </c>
      <c r="G310" s="2" t="n">
        <v>19.2</v>
      </c>
      <c r="H310" s="2" t="inlineStr">
        <is>
          <t>Hand on your chest. Breathe slower</t>
        </is>
      </c>
      <c r="I310" s="3" t="inlineStr">
        <is>
          <t>Hand on your chest. Breathe slower · 528 Hz · Zen Temple</t>
        </is>
      </c>
      <c r="J310" s="3" t="inlineStr">
        <is>
          <t>Stay for one full breath.
Full piece (5 min): 5-Minute Nervous System Reset 🔔 Zen Temple Bells to Calm Anxiety Fast · 528 Hz
#anxietyrelief #calm #relaxingmusic #528hz #shorts</t>
        </is>
      </c>
      <c r="K310" s="2" t="inlineStr">
        <is>
          <t>anxiety relief, calming music, 528 hz, zen temple, Rin</t>
        </is>
      </c>
      <c r="L310" s="2" t="inlineStr"/>
      <c r="M310" s="2" t="inlineStr">
        <is>
          <t>528 Hz · pause</t>
        </is>
      </c>
      <c r="N310" s="3" t="inlineStr">
        <is>
          <t>Stay for one full breath. Full 5 min piece on YouTube: Rin.
#anxietyrelief #calm #relaxingmusic #528hz #meditation</t>
        </is>
      </c>
      <c r="O310" s="4" t="inlineStr">
        <is>
          <t>pendiente</t>
        </is>
      </c>
      <c r="P310" s="4" t="inlineStr"/>
      <c r="Q310" s="4" t="inlineStr"/>
      <c r="R310" s="4" t="inlineStr"/>
      <c r="S310" s="4" t="inlineStr"/>
    </row>
    <row r="311" ht="58" customHeight="1">
      <c r="A311" s="2" t="inlineStr">
        <is>
          <t>OBRA-048-S1</t>
        </is>
      </c>
      <c r="B311" s="2" t="inlineStr">
        <is>
          <t>OBRA-048</t>
        </is>
      </c>
      <c r="C311" s="2" t="n">
        <v>1</v>
      </c>
      <c r="D311" s="2" t="inlineStr">
        <is>
          <t>short-1.mp4</t>
        </is>
      </c>
      <c r="E311" s="2" t="n">
        <v>90</v>
      </c>
      <c r="F311" s="2" t="n">
        <v>1</v>
      </c>
      <c r="G311" s="2" t="n">
        <v>0</v>
      </c>
      <c r="H311" s="2" t="inlineStr">
        <is>
          <t>Breathe out longer than you breathe in</t>
        </is>
      </c>
      <c r="I311" s="3" t="inlineStr">
        <is>
          <t>Breathe out longer than you breathe in · 432 Hz · Zen Temple</t>
        </is>
      </c>
      <c r="J311" s="3" t="inlineStr">
        <is>
          <t>Save this for tonight.
Full piece (3 h): Zen Temple Bells for Deep Sleep 🌙 Dark Screen · Calm Your Mind · 432 Hz · 3 Hours
#sleepmusic #sleep #relaxingmusic #432hz #shorts</t>
        </is>
      </c>
      <c r="K311" s="2" t="inlineStr">
        <is>
          <t>sleep music, deep sleep, 432 hz, zen temple, Rin</t>
        </is>
      </c>
      <c r="L311" s="2" t="inlineStr"/>
      <c r="M311" s="2" t="inlineStr">
        <is>
          <t>432 Hz · sleep</t>
        </is>
      </c>
      <c r="N311" s="3" t="inlineStr">
        <is>
          <t>Save this for tonight. Full 3 h piece on YouTube: Rin.
#sleepmusic #sleep #relaxingmusic #432hz #meditation</t>
        </is>
      </c>
      <c r="O311" s="4" t="inlineStr">
        <is>
          <t>pendiente</t>
        </is>
      </c>
      <c r="P311" s="4" t="inlineStr"/>
      <c r="Q311" s="4" t="inlineStr"/>
      <c r="R311" s="4" t="inlineStr"/>
      <c r="S311" s="4" t="inlineStr"/>
    </row>
    <row r="312" ht="58" customHeight="1">
      <c r="A312" s="2" t="inlineStr">
        <is>
          <t>OBRA-048-S2</t>
        </is>
      </c>
      <c r="B312" s="2" t="inlineStr">
        <is>
          <t>OBRA-048</t>
        </is>
      </c>
      <c r="C312" s="2" t="n">
        <v>2</v>
      </c>
      <c r="D312" s="2" t="inlineStr">
        <is>
          <t>short-2.mp4</t>
        </is>
      </c>
      <c r="E312" s="2" t="n">
        <v>5432</v>
      </c>
      <c r="F312" s="2" t="n">
        <v>1.15</v>
      </c>
      <c r="G312" s="2" t="n">
        <v>9.6</v>
      </c>
      <c r="H312" s="2" t="inlineStr">
        <is>
          <t>Unclench your jaw. Let the pillow hold you</t>
        </is>
      </c>
      <c r="I312" s="3" t="inlineStr">
        <is>
          <t>Unclench your jaw. Let the pillow hold you · 432 Hz · Zen Temple</t>
        </is>
      </c>
      <c r="J312" s="3" t="inlineStr">
        <is>
          <t>Lights off, volume low.
Full piece (3 h): Zen Temple Bells for Deep Sleep 🌙 Dark Screen · Calm Your Mind · 432 Hz · 3 Hours
#sleepmusic #sleep #relaxingmusic #432hz #shorts</t>
        </is>
      </c>
      <c r="K312" s="2" t="inlineStr">
        <is>
          <t>sleep music, deep sleep, 432 hz, zen temple, Rin</t>
        </is>
      </c>
      <c r="L312" s="2" t="inlineStr"/>
      <c r="M312" s="2" t="inlineStr">
        <is>
          <t>432 Hz · night</t>
        </is>
      </c>
      <c r="N312" s="3" t="inlineStr">
        <is>
          <t>Lights off, volume low. Full 3 h piece on YouTube: Rin.
#sleepmusic #sleep #relaxingmusic #432hz #meditation</t>
        </is>
      </c>
      <c r="O312" s="4" t="inlineStr">
        <is>
          <t>pendiente</t>
        </is>
      </c>
      <c r="P312" s="4" t="inlineStr"/>
      <c r="Q312" s="4" t="inlineStr"/>
      <c r="R312" s="4" t="inlineStr"/>
      <c r="S312" s="4" t="inlineStr"/>
    </row>
    <row r="313" ht="58" customHeight="1">
      <c r="A313" s="2" t="inlineStr">
        <is>
          <t>OBRA-048-S3</t>
        </is>
      </c>
      <c r="B313" s="2" t="inlineStr">
        <is>
          <t>OBRA-048</t>
        </is>
      </c>
      <c r="C313" s="2" t="n">
        <v>3</v>
      </c>
      <c r="D313" s="2" t="inlineStr">
        <is>
          <t>short-3.mp4</t>
        </is>
      </c>
      <c r="E313" s="2" t="n">
        <v>10775</v>
      </c>
      <c r="F313" s="2" t="n">
        <v>1.3</v>
      </c>
      <c r="G313" s="2" t="n">
        <v>19.2</v>
      </c>
      <c r="H313" s="2" t="inlineStr">
        <is>
          <t>Close your eyes. Just listen</t>
        </is>
      </c>
      <c r="I313" s="3" t="inlineStr">
        <is>
          <t>Close your eyes. Just listen · 432 Hz · Zen Temple</t>
        </is>
      </c>
      <c r="J313" s="3" t="inlineStr">
        <is>
          <t>Stay until your breathing slows.
Full piece (3 h): Zen Temple Bells for Deep Sleep 🌙 Dark Screen · Calm Your Mind · 432 Hz · 3 Hours
#sleepmusic #sleep #relaxingmusic #432hz #shorts</t>
        </is>
      </c>
      <c r="K313" s="2" t="inlineStr">
        <is>
          <t>sleep music, deep sleep, 432 hz, zen temple, Rin</t>
        </is>
      </c>
      <c r="L313" s="2" t="inlineStr"/>
      <c r="M313" s="2" t="inlineStr">
        <is>
          <t>432 Hz · rest</t>
        </is>
      </c>
      <c r="N313" s="3" t="inlineStr">
        <is>
          <t>Stay until your breathing slows. Full 3 h piece on YouTube: Rin.
#sleepmusic #sleep #relaxingmusic #432hz #meditation</t>
        </is>
      </c>
      <c r="O313" s="4" t="inlineStr">
        <is>
          <t>pendiente</t>
        </is>
      </c>
      <c r="P313" s="4" t="inlineStr"/>
      <c r="Q313" s="4" t="inlineStr"/>
      <c r="R313" s="4" t="inlineStr"/>
      <c r="S313" s="4" t="inlineStr"/>
    </row>
    <row r="314" ht="58" customHeight="1">
      <c r="A314" s="2" t="inlineStr">
        <is>
          <t>OBRA-049-S1</t>
        </is>
      </c>
      <c r="B314" s="2" t="inlineStr">
        <is>
          <t>OBRA-049</t>
        </is>
      </c>
      <c r="C314" s="2" t="n">
        <v>1</v>
      </c>
      <c r="D314" s="2" t="inlineStr">
        <is>
          <t>short-1.mp4</t>
        </is>
      </c>
      <c r="E314" s="2" t="n">
        <v>90</v>
      </c>
      <c r="F314" s="2" t="n">
        <v>1</v>
      </c>
      <c r="G314" s="2" t="n">
        <v>0</v>
      </c>
      <c r="H314" s="2" t="inlineStr">
        <is>
          <t>Breathe out longer than you breathe in</t>
        </is>
      </c>
      <c r="I314" s="3" t="inlineStr">
        <is>
          <t>Breathe out longer than you breathe in · 432 Hz · Birds and Temple Bells</t>
        </is>
      </c>
      <c r="J314" s="3" t="inlineStr">
        <is>
          <t>Save this for the next hard moment.
Full piece (10 min): Stop Overthinking in 10 Minutes 🌿 Birdsong &amp; Temple Bells · Calming Music · 432 Hz
#anxietyrelief #calm #relaxingmusic #432hz #shorts</t>
        </is>
      </c>
      <c r="K314" s="2" t="inlineStr">
        <is>
          <t>anxiety relief, calming music, 432 hz, birds and temple bells, Rin</t>
        </is>
      </c>
      <c r="L314" s="2" t="inlineStr"/>
      <c r="M314" s="2" t="inlineStr">
        <is>
          <t>432 Hz · calm</t>
        </is>
      </c>
      <c r="N314" s="3" t="inlineStr">
        <is>
          <t>Save this for the next hard moment. Full 10 min piece on YouTube: Rin.
#anxietyrelief #calm #relaxingmusic #432hz #meditation</t>
        </is>
      </c>
      <c r="O314" s="4" t="inlineStr">
        <is>
          <t>pendiente</t>
        </is>
      </c>
      <c r="P314" s="4" t="inlineStr"/>
      <c r="Q314" s="4" t="inlineStr"/>
      <c r="R314" s="4" t="inlineStr"/>
      <c r="S314" s="4" t="inlineStr"/>
    </row>
    <row r="315" ht="58" customHeight="1">
      <c r="A315" s="2" t="inlineStr">
        <is>
          <t>OBRA-049-S2</t>
        </is>
      </c>
      <c r="B315" s="2" t="inlineStr">
        <is>
          <t>OBRA-049</t>
        </is>
      </c>
      <c r="C315" s="2" t="n">
        <v>2</v>
      </c>
      <c r="D315" s="2" t="inlineStr">
        <is>
          <t>short-2.mp4</t>
        </is>
      </c>
      <c r="E315" s="2" t="n">
        <v>332</v>
      </c>
      <c r="F315" s="2" t="n">
        <v>1.15</v>
      </c>
      <c r="G315" s="2" t="n">
        <v>9.6</v>
      </c>
      <c r="H315" s="2" t="inlineStr">
        <is>
          <t>Drop your shoulders. Unclench your jaw</t>
        </is>
      </c>
      <c r="I315" s="3" t="inlineStr">
        <is>
          <t>Drop your shoulders. Unclench your jaw · 432 Hz · Birds and Temple Bells</t>
        </is>
      </c>
      <c r="J315" s="3" t="inlineStr">
        <is>
          <t>Headphones on. Exhale slowly.
Full piece (10 min): Stop Overthinking in 10 Minutes 🌿 Birdsong &amp; Temple Bells · Calming Music · 432 Hz
#anxietyrelief #calm #relaxingmusic #432hz #shorts</t>
        </is>
      </c>
      <c r="K315" s="2" t="inlineStr">
        <is>
          <t>anxiety relief, calming music, 432 hz, birds and temple bells, Rin</t>
        </is>
      </c>
      <c r="L315" s="2" t="inlineStr"/>
      <c r="M315" s="2" t="inlineStr">
        <is>
          <t>432 Hz · exhale</t>
        </is>
      </c>
      <c r="N315" s="3" t="inlineStr">
        <is>
          <t>Headphones on. Exhale slowly. Full 10 min piece on YouTube: Rin.
#anxietyrelief #calm #relaxingmusic #432hz #meditation</t>
        </is>
      </c>
      <c r="O315" s="4" t="inlineStr">
        <is>
          <t>pendiente</t>
        </is>
      </c>
      <c r="P315" s="4" t="inlineStr"/>
      <c r="Q315" s="4" t="inlineStr"/>
      <c r="R315" s="4" t="inlineStr"/>
      <c r="S315" s="4" t="inlineStr"/>
    </row>
    <row r="316" ht="58" customHeight="1">
      <c r="A316" s="2" t="inlineStr">
        <is>
          <t>OBRA-049-S3</t>
        </is>
      </c>
      <c r="B316" s="2" t="inlineStr">
        <is>
          <t>OBRA-049</t>
        </is>
      </c>
      <c r="C316" s="2" t="n">
        <v>3</v>
      </c>
      <c r="D316" s="2" t="inlineStr">
        <is>
          <t>short-3.mp4</t>
        </is>
      </c>
      <c r="E316" s="2" t="n">
        <v>575</v>
      </c>
      <c r="F316" s="2" t="n">
        <v>1.3</v>
      </c>
      <c r="G316" s="2" t="n">
        <v>19.2</v>
      </c>
      <c r="H316" s="2" t="inlineStr">
        <is>
          <t>Hand on your chest. Breathe slower</t>
        </is>
      </c>
      <c r="I316" s="3" t="inlineStr">
        <is>
          <t>Hand on your chest. Breathe slower · 432 Hz · Birds and Temple Bells</t>
        </is>
      </c>
      <c r="J316" s="3" t="inlineStr">
        <is>
          <t>Stay for one full breath.
Full piece (10 min): Stop Overthinking in 10 Minutes 🌿 Birdsong &amp; Temple Bells · Calming Music · 432 Hz
#anxietyrelief #calm #relaxingmusic #432hz #shorts</t>
        </is>
      </c>
      <c r="K316" s="2" t="inlineStr">
        <is>
          <t>anxiety relief, calming music, 432 hz, birds and temple bells, Rin</t>
        </is>
      </c>
      <c r="L316" s="2" t="inlineStr"/>
      <c r="M316" s="2" t="inlineStr">
        <is>
          <t>432 Hz · pause</t>
        </is>
      </c>
      <c r="N316" s="3" t="inlineStr">
        <is>
          <t>Stay for one full breath. Full 10 min piece on YouTube: Rin.
#anxietyrelief #calm #relaxingmusic #432hz #meditation</t>
        </is>
      </c>
      <c r="O316" s="4" t="inlineStr">
        <is>
          <t>pendiente</t>
        </is>
      </c>
      <c r="P316" s="4" t="inlineStr"/>
      <c r="Q316" s="4" t="inlineStr"/>
      <c r="R316" s="4" t="inlineStr"/>
      <c r="S316" s="4" t="inlineStr"/>
    </row>
    <row r="317" ht="58" customHeight="1">
      <c r="A317" s="2" t="inlineStr">
        <is>
          <t>OBRA-050-S1</t>
        </is>
      </c>
      <c r="B317" s="2" t="inlineStr">
        <is>
          <t>OBRA-050</t>
        </is>
      </c>
      <c r="C317" s="2" t="n">
        <v>1</v>
      </c>
      <c r="D317" s="2" t="inlineStr">
        <is>
          <t>short-1.mp4</t>
        </is>
      </c>
      <c r="E317" s="2" t="n">
        <v>90</v>
      </c>
      <c r="F317" s="2" t="n">
        <v>1</v>
      </c>
      <c r="G317" s="2" t="n">
        <v>0</v>
      </c>
      <c r="H317" s="2" t="inlineStr">
        <is>
          <t>Breathe out longer than you breathe in</t>
        </is>
      </c>
      <c r="I317" s="3" t="inlineStr">
        <is>
          <t>Breathe out longer than you breathe in · 432 Hz · Brown Noise</t>
        </is>
      </c>
      <c r="J317" s="3" t="inlineStr">
        <is>
          <t>Save this for tonight.
Full piece (3 h): Brown Noise for Deep Sleep 🌙 Distant Temple Bells · Black Screen · Fall Asleep Fast · 3 Hours
#sleepmusic #sleep #relaxingmusic #432hz #shorts</t>
        </is>
      </c>
      <c r="K317" s="2" t="inlineStr">
        <is>
          <t>sleep music, deep sleep, 432 hz, brown noise, Rin</t>
        </is>
      </c>
      <c r="L317" s="2" t="inlineStr"/>
      <c r="M317" s="2" t="inlineStr">
        <is>
          <t>432 Hz · sleep</t>
        </is>
      </c>
      <c r="N317" s="3" t="inlineStr">
        <is>
          <t>Save this for tonight. Full 3 h piece on YouTube: Rin.
#sleepmusic #sleep #relaxingmusic #432hz #meditation</t>
        </is>
      </c>
      <c r="O317" s="4" t="inlineStr">
        <is>
          <t>pendiente</t>
        </is>
      </c>
      <c r="P317" s="4" t="inlineStr"/>
      <c r="Q317" s="4" t="inlineStr"/>
      <c r="R317" s="4" t="inlineStr"/>
      <c r="S317" s="4" t="inlineStr"/>
    </row>
    <row r="318" ht="58" customHeight="1">
      <c r="A318" s="2" t="inlineStr">
        <is>
          <t>OBRA-050-S2</t>
        </is>
      </c>
      <c r="B318" s="2" t="inlineStr">
        <is>
          <t>OBRA-050</t>
        </is>
      </c>
      <c r="C318" s="2" t="n">
        <v>2</v>
      </c>
      <c r="D318" s="2" t="inlineStr">
        <is>
          <t>short-2.mp4</t>
        </is>
      </c>
      <c r="E318" s="2" t="n">
        <v>5432</v>
      </c>
      <c r="F318" s="2" t="n">
        <v>1.15</v>
      </c>
      <c r="G318" s="2" t="n">
        <v>9.6</v>
      </c>
      <c r="H318" s="2" t="inlineStr">
        <is>
          <t>Unclench your jaw. Let the pillow hold you</t>
        </is>
      </c>
      <c r="I318" s="3" t="inlineStr">
        <is>
          <t>Unclench your jaw. Let the pillow hold you · 432 Hz · Brown Noise</t>
        </is>
      </c>
      <c r="J318" s="3" t="inlineStr">
        <is>
          <t>Lights off, volume low.
Full piece (3 h): Brown Noise for Deep Sleep 🌙 Distant Temple Bells · Black Screen · Fall Asleep Fast · 3 Hours
#sleepmusic #sleep #relaxingmusic #432hz #shorts</t>
        </is>
      </c>
      <c r="K318" s="2" t="inlineStr">
        <is>
          <t>sleep music, deep sleep, 432 hz, brown noise, Rin</t>
        </is>
      </c>
      <c r="L318" s="2" t="inlineStr"/>
      <c r="M318" s="2" t="inlineStr">
        <is>
          <t>432 Hz · night</t>
        </is>
      </c>
      <c r="N318" s="3" t="inlineStr">
        <is>
          <t>Lights off, volume low. Full 3 h piece on YouTube: Rin.
#sleepmusic #sleep #relaxingmusic #432hz #meditation</t>
        </is>
      </c>
      <c r="O318" s="4" t="inlineStr">
        <is>
          <t>pendiente</t>
        </is>
      </c>
      <c r="P318" s="4" t="inlineStr"/>
      <c r="Q318" s="4" t="inlineStr"/>
      <c r="R318" s="4" t="inlineStr"/>
      <c r="S318" s="4" t="inlineStr"/>
    </row>
    <row r="319" ht="58" customHeight="1">
      <c r="A319" s="2" t="inlineStr">
        <is>
          <t>OBRA-050-S3</t>
        </is>
      </c>
      <c r="B319" s="2" t="inlineStr">
        <is>
          <t>OBRA-050</t>
        </is>
      </c>
      <c r="C319" s="2" t="n">
        <v>3</v>
      </c>
      <c r="D319" s="2" t="inlineStr">
        <is>
          <t>short-3.mp4</t>
        </is>
      </c>
      <c r="E319" s="2" t="n">
        <v>10775</v>
      </c>
      <c r="F319" s="2" t="n">
        <v>1.3</v>
      </c>
      <c r="G319" s="2" t="n">
        <v>19.2</v>
      </c>
      <c r="H319" s="2" t="inlineStr">
        <is>
          <t>Close your eyes. Just listen</t>
        </is>
      </c>
      <c r="I319" s="3" t="inlineStr">
        <is>
          <t>Close your eyes. Just listen · 432 Hz · Brown Noise</t>
        </is>
      </c>
      <c r="J319" s="3" t="inlineStr">
        <is>
          <t>Stay until your breathing slows.
Full piece (3 h): Brown Noise for Deep Sleep 🌙 Distant Temple Bells · Black Screen · Fall Asleep Fast · 3 Hours
#sleepmusic #sleep #relaxingmusic #432hz #shorts</t>
        </is>
      </c>
      <c r="K319" s="2" t="inlineStr">
        <is>
          <t>sleep music, deep sleep, 432 hz, brown noise, Rin</t>
        </is>
      </c>
      <c r="L319" s="2" t="inlineStr"/>
      <c r="M319" s="2" t="inlineStr">
        <is>
          <t>432 Hz · rest</t>
        </is>
      </c>
      <c r="N319" s="3" t="inlineStr">
        <is>
          <t>Stay until your breathing slows. Full 3 h piece on YouTube: Rin.
#sleepmusic #sleep #relaxingmusic #432hz #meditation</t>
        </is>
      </c>
      <c r="O319" s="4" t="inlineStr">
        <is>
          <t>pendiente</t>
        </is>
      </c>
      <c r="P319" s="4" t="inlineStr"/>
      <c r="Q319" s="4" t="inlineStr"/>
      <c r="R319" s="4" t="inlineStr"/>
      <c r="S319" s="4" t="inlineStr"/>
    </row>
    <row r="320" ht="58" customHeight="1">
      <c r="A320" s="2" t="inlineStr">
        <is>
          <t>OBRA-051-S1</t>
        </is>
      </c>
      <c r="B320" s="2" t="inlineStr">
        <is>
          <t>OBRA-051</t>
        </is>
      </c>
      <c r="C320" s="2" t="n">
        <v>1</v>
      </c>
      <c r="D320" s="2" t="inlineStr">
        <is>
          <t>short-1.mp4</t>
        </is>
      </c>
      <c r="E320" s="2" t="n">
        <v>90</v>
      </c>
      <c r="F320" s="2" t="n">
        <v>1</v>
      </c>
      <c r="G320" s="2" t="n">
        <v>0</v>
      </c>
      <c r="H320" s="2" t="inlineStr">
        <is>
          <t>Breathe out longer than you breathe in</t>
        </is>
      </c>
      <c r="I320" s="3" t="inlineStr">
        <is>
          <t>Breathe out longer than you breathe in · 432 Hz · Pink Noise and Delta Waves</t>
        </is>
      </c>
      <c r="J320" s="3" t="inlineStr">
        <is>
          <t>Save this for tonight.
Full piece (3 h): Pink Noise + Delta Waves for Deep Sleep 🌙 Binaural Beats · Black Screen · 3 Hours
#sleepmusic #sleep #relaxingmusic #432hz #shorts</t>
        </is>
      </c>
      <c r="K320" s="2" t="inlineStr">
        <is>
          <t>sleep music, deep sleep, 432 hz, pink noise and delta waves, Rin</t>
        </is>
      </c>
      <c r="L320" s="2" t="inlineStr"/>
      <c r="M320" s="2" t="inlineStr">
        <is>
          <t>432 Hz · sleep</t>
        </is>
      </c>
      <c r="N320" s="3" t="inlineStr">
        <is>
          <t>Save this for tonight. Full 3 h piece on YouTube: Rin.
#sleepmusic #sleep #relaxingmusic #432hz #meditation</t>
        </is>
      </c>
      <c r="O320" s="4" t="inlineStr">
        <is>
          <t>pendiente</t>
        </is>
      </c>
      <c r="P320" s="4" t="inlineStr"/>
      <c r="Q320" s="4" t="inlineStr"/>
      <c r="R320" s="4" t="inlineStr"/>
      <c r="S320" s="4" t="inlineStr"/>
    </row>
    <row r="321" ht="58" customHeight="1">
      <c r="A321" s="2" t="inlineStr">
        <is>
          <t>OBRA-051-S2</t>
        </is>
      </c>
      <c r="B321" s="2" t="inlineStr">
        <is>
          <t>OBRA-051</t>
        </is>
      </c>
      <c r="C321" s="2" t="n">
        <v>2</v>
      </c>
      <c r="D321" s="2" t="inlineStr">
        <is>
          <t>short-2.mp4</t>
        </is>
      </c>
      <c r="E321" s="2" t="n">
        <v>5432</v>
      </c>
      <c r="F321" s="2" t="n">
        <v>1.15</v>
      </c>
      <c r="G321" s="2" t="n">
        <v>9.6</v>
      </c>
      <c r="H321" s="2" t="inlineStr">
        <is>
          <t>Unclench your jaw. Let the pillow hold you</t>
        </is>
      </c>
      <c r="I321" s="3" t="inlineStr">
        <is>
          <t>Unclench your jaw. Let the pillow hold you · 432 Hz · Pink Noise and Delta Waves</t>
        </is>
      </c>
      <c r="J321" s="3" t="inlineStr">
        <is>
          <t>Lights off, volume low.
Full piece (3 h): Pink Noise + Delta Waves for Deep Sleep 🌙 Binaural Beats · Black Screen · 3 Hours
#sleepmusic #sleep #relaxingmusic #432hz #shorts</t>
        </is>
      </c>
      <c r="K321" s="2" t="inlineStr">
        <is>
          <t>sleep music, deep sleep, 432 hz, pink noise and delta waves, Rin</t>
        </is>
      </c>
      <c r="L321" s="2" t="inlineStr"/>
      <c r="M321" s="2" t="inlineStr">
        <is>
          <t>432 Hz · night</t>
        </is>
      </c>
      <c r="N321" s="3" t="inlineStr">
        <is>
          <t>Lights off, volume low. Full 3 h piece on YouTube: Rin.
#sleepmusic #sleep #relaxingmusic #432hz #meditation</t>
        </is>
      </c>
      <c r="O321" s="4" t="inlineStr">
        <is>
          <t>pendiente</t>
        </is>
      </c>
      <c r="P321" s="4" t="inlineStr"/>
      <c r="Q321" s="4" t="inlineStr"/>
      <c r="R321" s="4" t="inlineStr"/>
      <c r="S321" s="4" t="inlineStr"/>
    </row>
    <row r="322" ht="58" customHeight="1">
      <c r="A322" s="2" t="inlineStr">
        <is>
          <t>OBRA-051-S3</t>
        </is>
      </c>
      <c r="B322" s="2" t="inlineStr">
        <is>
          <t>OBRA-051</t>
        </is>
      </c>
      <c r="C322" s="2" t="n">
        <v>3</v>
      </c>
      <c r="D322" s="2" t="inlineStr">
        <is>
          <t>short-3.mp4</t>
        </is>
      </c>
      <c r="E322" s="2" t="n">
        <v>10775</v>
      </c>
      <c r="F322" s="2" t="n">
        <v>1.3</v>
      </c>
      <c r="G322" s="2" t="n">
        <v>19.2</v>
      </c>
      <c r="H322" s="2" t="inlineStr">
        <is>
          <t>Close your eyes. Just listen</t>
        </is>
      </c>
      <c r="I322" s="3" t="inlineStr">
        <is>
          <t>Close your eyes. Just listen · 432 Hz · Pink Noise and Delta Waves</t>
        </is>
      </c>
      <c r="J322" s="3" t="inlineStr">
        <is>
          <t>Stay until your breathing slows.
Full piece (3 h): Pink Noise + Delta Waves for Deep Sleep 🌙 Binaural Beats · Black Screen · 3 Hours
#sleepmusic #sleep #relaxingmusic #432hz #shorts</t>
        </is>
      </c>
      <c r="K322" s="2" t="inlineStr">
        <is>
          <t>sleep music, deep sleep, 432 hz, pink noise and delta waves, Rin</t>
        </is>
      </c>
      <c r="L322" s="2" t="inlineStr"/>
      <c r="M322" s="2" t="inlineStr">
        <is>
          <t>432 Hz · rest</t>
        </is>
      </c>
      <c r="N322" s="3" t="inlineStr">
        <is>
          <t>Stay until your breathing slows. Full 3 h piece on YouTube: Rin.
#sleepmusic #sleep #relaxingmusic #432hz #meditation</t>
        </is>
      </c>
      <c r="O322" s="4" t="inlineStr">
        <is>
          <t>pendiente</t>
        </is>
      </c>
      <c r="P322" s="4" t="inlineStr"/>
      <c r="Q322" s="4" t="inlineStr"/>
      <c r="R322" s="4" t="inlineStr"/>
      <c r="S322" s="4" t="inlineStr"/>
    </row>
  </sheetData>
  <autoFilter ref="A1:S3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COUNTA(Catálogo!A2:A52)</f>
        <v/>
      </c>
    </row>
    <row r="3">
      <c r="A3" s="7" t="inlineStr">
        <is>
          <t>Pendientes</t>
        </is>
      </c>
      <c r="B3" s="7">
        <f>COUNTIF(Catálogo!W2:W52,"pendiente")</f>
        <v/>
      </c>
    </row>
    <row r="4">
      <c r="A4" s="7" t="inlineStr">
        <is>
          <t>Compuestas</t>
        </is>
      </c>
      <c r="B4" s="7">
        <f>COUNTIF(Catálogo!W2:W52,"compuesta")</f>
        <v/>
      </c>
    </row>
    <row r="5">
      <c r="A5" s="7" t="inlineStr">
        <is>
          <t>Montadas</t>
        </is>
      </c>
      <c r="B5" s="7">
        <f>COUNTIF(Catálogo!W2:W52,"montada")</f>
        <v/>
      </c>
    </row>
    <row r="6">
      <c r="A6" s="7" t="inlineStr">
        <is>
          <t>Publicadas</t>
        </is>
      </c>
      <c r="B6" s="7">
        <f>COUNTIF(Catálogo!W2:W52,"publicada")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COUNTIF(Catálogo!D2:D52,A10)</f>
        <v/>
      </c>
      <c r="C10" s="7">
        <f>COUNTIFS(Catálogo!D2:D52,A10,Catálogo!W2:W52,"publicada")</f>
        <v/>
      </c>
      <c r="D10" s="7">
        <f>SUMIF(Catálogo!D2:D52,A10,Catálogo!R2:R52)</f>
        <v/>
      </c>
    </row>
    <row r="11">
      <c r="A11" s="7" t="inlineStr">
        <is>
          <t>Ansiedad</t>
        </is>
      </c>
      <c r="B11" s="7">
        <f>COUNTIF(Catálogo!D2:D52,A11)</f>
        <v/>
      </c>
      <c r="C11" s="7">
        <f>COUNTIFS(Catálogo!D2:D52,A11,Catálogo!W2:W52,"publicada")</f>
        <v/>
      </c>
      <c r="D11" s="7">
        <f>SUMIF(Catálogo!D2:D52,A11,Catálogo!R2:R52)</f>
        <v/>
      </c>
    </row>
    <row r="12">
      <c r="A12" s="7" t="inlineStr">
        <is>
          <t>Meditar</t>
        </is>
      </c>
      <c r="B12" s="7">
        <f>COUNTIF(Catálogo!D2:D52,A12)</f>
        <v/>
      </c>
      <c r="C12" s="7">
        <f>COUNTIFS(Catálogo!D2:D52,A12,Catálogo!W2:W52,"publicada")</f>
        <v/>
      </c>
      <c r="D12" s="7">
        <f>SUMIF(Catálogo!D2:D52,A12,Catálogo!R2:R52)</f>
        <v/>
      </c>
    </row>
    <row r="13">
      <c r="A13" s="7" t="inlineStr">
        <is>
          <t>Soltar</t>
        </is>
      </c>
      <c r="B13" s="7">
        <f>COUNTIF(Catálogo!D2:D52,A13)</f>
        <v/>
      </c>
      <c r="C13" s="7">
        <f>COUNTIFS(Catálogo!D2:D52,A13,Catálogo!W2:W52,"publicada")</f>
        <v/>
      </c>
      <c r="D13" s="7">
        <f>SUMIF(Catálogo!D2:D52,A13,Catálogo!R2:R52)</f>
        <v/>
      </c>
    </row>
    <row r="14">
      <c r="A14" s="7" t="inlineStr">
        <is>
          <t>Concentración</t>
        </is>
      </c>
      <c r="B14" s="7">
        <f>COUNTIF(Catálogo!D2:D52,A14)</f>
        <v/>
      </c>
      <c r="C14" s="7">
        <f>COUNTIFS(Catálogo!D2:D52,A14,Catálogo!W2:W52,"publicada")</f>
        <v/>
      </c>
      <c r="D14" s="7">
        <f>SUMIF(Catálogo!D2:D52,A14,Catálogo!R2:R52)</f>
        <v/>
      </c>
    </row>
    <row r="15">
      <c r="A15" s="8" t="inlineStr">
        <is>
          <t>TOTAL</t>
        </is>
      </c>
      <c r="B15" s="8">
        <f>SUM(B10:B14)</f>
        <v/>
      </c>
      <c r="C15" s="8">
        <f>SUM(C10:C14)</f>
        <v/>
      </c>
      <c r="D15" s="8">
        <f>SUM(D10:D14)</f>
        <v/>
      </c>
    </row>
    <row r="17">
      <c r="A17" s="6" t="inlineStr">
        <is>
          <t>Rendimiento</t>
        </is>
      </c>
    </row>
    <row r="18">
      <c r="A18" s="7" t="inlineStr">
        <is>
          <t>Vistas totales</t>
        </is>
      </c>
      <c r="B18" s="7">
        <f>SUM(Catálogo!Y2:Y52)</f>
        <v/>
      </c>
    </row>
    <row r="19">
      <c r="A19" s="7" t="inlineStr">
        <is>
          <t>Suscriptores totales</t>
        </is>
      </c>
      <c r="B19" s="7">
        <f>SUM(Catálogo!Z2:Z52)</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lluvia-tambor, jardin, lluvia, theta, guqin, marron o delta.</t>
        </is>
      </c>
    </row>
    <row r="12">
      <c r="A12" s="8" t="inlineStr">
        <is>
          <t>comando_ambiente</t>
        </is>
      </c>
      <c r="B12" s="11" t="inlineStr">
        <is>
          <t>Segundo paso: envuelve la obra compuesta en su ambiente.</t>
        </is>
      </c>
    </row>
    <row r="13">
      <c r="A13" s="8" t="inlineStr">
        <is>
          <t>comentario_fijado</t>
        </is>
      </c>
      <c r="B13" s="11" t="inlineStr">
        <is>
          <t>Comentario para escribir y fijar apenas se publica: una pregunta fácil de contestar.</t>
        </is>
      </c>
    </row>
    <row r="14">
      <c r="A14" s="8" t="inlineStr">
        <is>
          <t>pantalla_oscura_min</t>
        </is>
      </c>
      <c r="B14" s="11" t="inlineStr">
        <is>
          <t>Minutos de mandala antes de que la pantalla se funda a negro (videos para dormir). 0: el mandala dura todo el video.</t>
        </is>
      </c>
    </row>
    <row r="15">
      <c r="A15" s="8" t="inlineStr">
        <is>
          <t>descripcion_optimizada</t>
        </is>
      </c>
      <c r="B15" s="11" t="inlineStr">
        <is>
          <t>Descripción bilingüe lista para pegar. Solo falta añadir los capítulos tras el montaje.</t>
        </is>
      </c>
    </row>
    <row r="16">
      <c r="A16" s="8" t="inlineStr">
        <is>
          <t>titulo_miniatura</t>
        </is>
      </c>
      <c r="B16" s="11" t="inlineStr">
        <is>
          <t>Texto de la miniatura: 2-4 palabras que COMPLETAN el título, nunca lo repiten.</t>
        </is>
      </c>
    </row>
    <row r="17">
      <c r="A17" s="8" t="inlineStr">
        <is>
          <t>hashtags</t>
        </is>
      </c>
      <c r="B17" s="11" t="inlineStr">
        <is>
          <t>Tres, al final de la descripción.</t>
        </is>
      </c>
    </row>
    <row r="18">
      <c r="A18" s="8" t="inlineStr">
        <is>
          <t>etiquetas</t>
        </is>
      </c>
      <c r="B18" s="11" t="inlineStr">
        <is>
          <t>Etiquetas del video, separadas por coma.</t>
        </is>
      </c>
    </row>
    <row r="19">
      <c r="A19" s="8" t="inlineStr">
        <is>
          <t>imagen_miniatura</t>
        </is>
      </c>
      <c r="B19" s="11" t="inlineStr">
        <is>
          <t>AMARILLA. Ruta o URL de la portada una vez generada.</t>
        </is>
      </c>
    </row>
    <row r="20">
      <c r="A20" s="8" t="inlineStr">
        <is>
          <t>url_video</t>
        </is>
      </c>
      <c r="B20" s="11" t="inlineStr">
        <is>
          <t>AMARILLA. URL de YouTube una vez publicado.</t>
        </is>
      </c>
    </row>
    <row r="21">
      <c r="A21" s="8" t="inlineStr">
        <is>
          <t>raiz_hz / modo / registro / semilla</t>
        </is>
      </c>
      <c r="B21" s="11" t="inlineStr">
        <is>
          <t>Parámetros de composición. El registro grave baja una octava (Dormir y Concentración). La semilla regenera la obra idéntica.</t>
        </is>
      </c>
    </row>
    <row r="22">
      <c r="A22" s="8" t="inlineStr">
        <is>
          <t>comando_regeneracion</t>
        </is>
      </c>
      <c r="B22" s="11" t="inlineStr">
        <is>
          <t>Comando exacto. Copiar, pegar y ejecutar: devuelve el mismo audio bit a bit.</t>
        </is>
      </c>
    </row>
    <row r="23">
      <c r="A23" s="8" t="inlineStr">
        <is>
          <t>estado</t>
        </is>
      </c>
      <c r="B23" s="11" t="inlineStr">
        <is>
          <t>AMARILLA. pendiente / compuesta / montada / publicada</t>
        </is>
      </c>
    </row>
    <row r="24">
      <c r="A24" s="8" t="inlineStr">
        <is>
          <t>fecha_publicacion</t>
        </is>
      </c>
      <c r="B24" s="11" t="inlineStr">
        <is>
          <t>AMARILLA. Formato AAAA-MM-DD.</t>
        </is>
      </c>
    </row>
    <row r="25">
      <c r="A25" s="8" t="inlineStr">
        <is>
          <t>vistas / suscriptores</t>
        </is>
      </c>
      <c r="B25" s="11" t="inlineStr">
        <is>
          <t>AMARILLA. Copiar de YouTube Studio a los 14 días de publicar.</t>
        </is>
      </c>
    </row>
    <row r="26">
      <c r="A26" s="8" t="inlineStr">
        <is>
          <t>subs_por_1000</t>
        </is>
      </c>
      <c r="B26" s="11" t="inlineStr">
        <is>
          <t>Calculada. Es la métrica que decide el canal: por debajo de 1, el problema es la portada, no la música.</t>
        </is>
      </c>
    </row>
    <row r="27">
      <c r="A27" s="6" t="inlineStr"/>
    </row>
    <row r="28">
      <c r="A28" s="8" t="inlineStr">
        <is>
          <t>Hoja Shorts</t>
        </is>
      </c>
      <c r="B28" s="11" t="inlineStr">
        <is>
          <t>5 por obra. Cada uno cambia de tramo de la obra, encuadre, instante del mandala y frase.</t>
        </is>
      </c>
    </row>
    <row r="29">
      <c r="A29" s="8" t="inlineStr">
        <is>
          <t>tiktok_portada</t>
        </is>
      </c>
      <c r="B29" s="11" t="inlineStr">
        <is>
          <t>El título de la portada en TikTok (el que se ve en el perfil). Distinto de la descripción.</t>
        </is>
      </c>
    </row>
    <row r="30">
      <c r="A30" s="8" t="inlineStr">
        <is>
          <t>tiktok_descripcion</t>
        </is>
      </c>
      <c r="B30" s="11" t="inlineStr">
        <is>
          <t>El texto que acompaña al video en TikTok, con hashtags. En Metricool, nunca en el campo título.</t>
        </is>
      </c>
    </row>
    <row r="31">
      <c r="A31" s="8" t="inlineStr">
        <is>
          <t>yt_video_relacionado</t>
        </is>
      </c>
      <c r="B31" s="11" t="inlineStr">
        <is>
          <t>El video largo. En YouTube Studio va en «Video relacionado» del Short.</t>
        </is>
      </c>
    </row>
    <row r="32">
      <c r="A32" s="6" t="inlineStr"/>
    </row>
    <row r="33">
      <c r="A33" s="8" t="inlineStr">
        <is>
          <t>Ejemplo de fila rellenada</t>
        </is>
      </c>
      <c r="B33"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2026-10-06T02:19:31Z</dcterms:created>
  <dcterms:modified xsi:type="dcterms:W3CDTF">2026-10-06T02:19:31Z</dcterms:modified>
</cp:coreProperties>
</file>