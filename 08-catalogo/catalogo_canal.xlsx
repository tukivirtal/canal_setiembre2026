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'Catálogo'!$A$1:$AA$45</definedName>
    <definedName name="_xlnm._FilterDatabase" localSheetId="1" hidden="1">'Shorts'!$A$1:$S$301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pendiente</t>
        </is>
      </c>
      <c r="X45" s="4" t="inlineStr"/>
      <c r="Y45" s="4" t="inlineStr"/>
      <c r="Z45" s="4" t="inlineStr"/>
      <c r="AA45" s="5">
        <f>IFERROR(Z45/Y45*1000,"")</f>
        <v/>
      </c>
    </row>
  </sheetData>
  <autoFilter ref="A1:AA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#sleepmusic #sleep #relaxingmusic #432hz #shorts</t>
        </is>
      </c>
      <c r="K299" s="2" t="inlineStr">
        <is>
          <t>sleep music, deep sleep, 432 hz, theta waves, Rin</t>
        </is>
      </c>
      <c r="L299" s="2" t="inlineStr"/>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#sleepmusic #sleep #relaxingmusic #432hz #shorts</t>
        </is>
      </c>
      <c r="K300" s="2" t="inlineStr">
        <is>
          <t>sleep music, deep sleep, 432 hz, theta waves, Rin</t>
        </is>
      </c>
      <c r="L300" s="2" t="inlineStr"/>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#sleepmusic #sleep #relaxingmusic #432hz #shorts</t>
        </is>
      </c>
      <c r="K301" s="2" t="inlineStr">
        <is>
          <t>sleep music, deep sleep, 432 hz, theta waves, Rin</t>
        </is>
      </c>
      <c r="L301" s="2" t="inlineStr"/>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sheetData>
  <autoFilter ref="A1:S3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COUNTA(Catálogo!A2:A45)</f>
        <v/>
      </c>
    </row>
    <row r="3">
      <c r="A3" s="7" t="inlineStr">
        <is>
          <t>Pendientes</t>
        </is>
      </c>
      <c r="B3" s="7">
        <f>COUNTIF(Catálogo!W2:W45,"pendiente")</f>
        <v/>
      </c>
    </row>
    <row r="4">
      <c r="A4" s="7" t="inlineStr">
        <is>
          <t>Compuestas</t>
        </is>
      </c>
      <c r="B4" s="7">
        <f>COUNTIF(Catálogo!W2:W45,"compuesta")</f>
        <v/>
      </c>
    </row>
    <row r="5">
      <c r="A5" s="7" t="inlineStr">
        <is>
          <t>Montadas</t>
        </is>
      </c>
      <c r="B5" s="7">
        <f>COUNTIF(Catálogo!W2:W45,"montada")</f>
        <v/>
      </c>
    </row>
    <row r="6">
      <c r="A6" s="7" t="inlineStr">
        <is>
          <t>Publicadas</t>
        </is>
      </c>
      <c r="B6" s="7">
        <f>COUNTIF(Catálogo!W2:W45,"publicada")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COUNTIF(Catálogo!D2:D45,A10)</f>
        <v/>
      </c>
      <c r="C10" s="7">
        <f>COUNTIFS(Catálogo!D2:D45,A10,Catálogo!W2:W45,"publicada")</f>
        <v/>
      </c>
      <c r="D10" s="7">
        <f>SUMIF(Catálogo!D2:D45,A10,Catálogo!R2:R45)</f>
        <v/>
      </c>
    </row>
    <row r="11">
      <c r="A11" s="7" t="inlineStr">
        <is>
          <t>Ansiedad</t>
        </is>
      </c>
      <c r="B11" s="7">
        <f>COUNTIF(Catálogo!D2:D45,A11)</f>
        <v/>
      </c>
      <c r="C11" s="7">
        <f>COUNTIFS(Catálogo!D2:D45,A11,Catálogo!W2:W45,"publicada")</f>
        <v/>
      </c>
      <c r="D11" s="7">
        <f>SUMIF(Catálogo!D2:D45,A11,Catálogo!R2:R45)</f>
        <v/>
      </c>
    </row>
    <row r="12">
      <c r="A12" s="7" t="inlineStr">
        <is>
          <t>Meditar</t>
        </is>
      </c>
      <c r="B12" s="7">
        <f>COUNTIF(Catálogo!D2:D45,A12)</f>
        <v/>
      </c>
      <c r="C12" s="7">
        <f>COUNTIFS(Catálogo!D2:D45,A12,Catálogo!W2:W45,"publicada")</f>
        <v/>
      </c>
      <c r="D12" s="7">
        <f>SUMIF(Catálogo!D2:D45,A12,Catálogo!R2:R45)</f>
        <v/>
      </c>
    </row>
    <row r="13">
      <c r="A13" s="7" t="inlineStr">
        <is>
          <t>Soltar</t>
        </is>
      </c>
      <c r="B13" s="7">
        <f>COUNTIF(Catálogo!D2:D45,A13)</f>
        <v/>
      </c>
      <c r="C13" s="7">
        <f>COUNTIFS(Catálogo!D2:D45,A13,Catálogo!W2:W45,"publicada")</f>
        <v/>
      </c>
      <c r="D13" s="7">
        <f>SUMIF(Catálogo!D2:D45,A13,Catálogo!R2:R45)</f>
        <v/>
      </c>
    </row>
    <row r="14">
      <c r="A14" s="7" t="inlineStr">
        <is>
          <t>Concentración</t>
        </is>
      </c>
      <c r="B14" s="7">
        <f>COUNTIF(Catálogo!D2:D45,A14)</f>
        <v/>
      </c>
      <c r="C14" s="7">
        <f>COUNTIFS(Catálogo!D2:D45,A14,Catálogo!W2:W45,"publicada")</f>
        <v/>
      </c>
      <c r="D14" s="7">
        <f>SUMIF(Catálogo!D2:D45,A14,Catálogo!R2:R45)</f>
        <v/>
      </c>
    </row>
    <row r="15">
      <c r="A15" s="8" t="inlineStr">
        <is>
          <t>TOTAL</t>
        </is>
      </c>
      <c r="B15" s="8">
        <f>SUM(B10:B14)</f>
        <v/>
      </c>
      <c r="C15" s="8">
        <f>SUM(C10:C14)</f>
        <v/>
      </c>
      <c r="D15" s="8">
        <f>SUM(D10:D14)</f>
        <v/>
      </c>
    </row>
    <row r="17">
      <c r="A17" s="6" t="inlineStr">
        <is>
          <t>Rendimiento</t>
        </is>
      </c>
    </row>
    <row r="18">
      <c r="A18" s="7" t="inlineStr">
        <is>
          <t>Vistas totales</t>
        </is>
      </c>
      <c r="B18" s="7">
        <f>SUM(Catálogo!Y2:Y45)</f>
        <v/>
      </c>
    </row>
    <row r="19">
      <c r="A19" s="7" t="inlineStr">
        <is>
          <t>Suscriptores totales</t>
        </is>
      </c>
      <c r="B19" s="7">
        <f>SUM(Catálogo!Z2:Z45)</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o theta.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2026-10-01T00:56:08Z</dcterms:created>
  <dcterms:modified xsi:type="dcterms:W3CDTF">2026-10-01T00:56:08Z</dcterms:modified>
</cp:coreProperties>
</file>