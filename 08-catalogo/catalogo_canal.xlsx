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Resumen" sheetId="2" state="visible" r:id="rId2"/>
    <sheet name="Leyenda" sheetId="3" state="visible" r:id="rId3"/>
  </sheets>
  <definedNames>
    <definedName name="_xlnm._FilterDatabase" localSheetId="0" hidden="1">'Catálogo'!$A$1:$X$41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13" customWidth="1" min="17" max="17"/>
    <col width="62" customWidth="1" min="18" max="18"/>
    <col width="62" customWidth="1" min="19" max="19"/>
    <col width="13" customWidth="1" min="20" max="20"/>
    <col width="18" customWidth="1" min="21" max="21"/>
    <col width="10" customWidth="1" min="22" max="22"/>
    <col width="13" customWidth="1" min="23" max="23"/>
    <col width="14" customWidth="1" min="24" max="24"/>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duracion_min</t>
        </is>
      </c>
      <c r="R1" s="1" t="inlineStr">
        <is>
          <t>comando_regeneracion</t>
        </is>
      </c>
      <c r="S1" s="1" t="inlineStr">
        <is>
          <t>comando_ambiente</t>
        </is>
      </c>
      <c r="T1" s="1" t="inlineStr">
        <is>
          <t>estado</t>
        </is>
      </c>
      <c r="U1" s="1" t="inlineStr">
        <is>
          <t>fecha_publicacion</t>
        </is>
      </c>
      <c r="V1" s="1" t="inlineStr">
        <is>
          <t>vistas</t>
        </is>
      </c>
      <c r="W1" s="1" t="inlineStr">
        <is>
          <t>suscriptores</t>
        </is>
      </c>
      <c r="X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Chapters:
00:00 [fill in after editing]</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Capítulos:
00:00 [completar tras el montaje]</t>
        </is>
      </c>
      <c r="H2" s="2" t="inlineStr">
        <is>
          <t>3 HOURS</t>
        </is>
      </c>
      <c r="I2" s="2" t="inlineStr">
        <is>
          <t>#SleepMusic #Meditation #432Hz</t>
        </is>
      </c>
      <c r="J2" s="3" t="inlineStr">
        <is>
          <t>432 hz, música 432 hz, música para dormir, sleep music, dormir, shin, música relajante, meditación, relajación, entonación justa, composición original, meditation music, relaxing music, singing bowls, just intonation</t>
        </is>
      </c>
      <c r="K2" s="4" t="inlineStr"/>
      <c r="L2" s="4" t="inlineStr"/>
      <c r="M2" s="2" t="n">
        <v>432</v>
      </c>
      <c r="N2" s="2" t="inlineStr">
        <is>
          <t>shin</t>
        </is>
      </c>
      <c r="O2" s="2" t="inlineStr">
        <is>
          <t>grave</t>
        </is>
      </c>
      <c r="P2" s="2" t="n">
        <v>505716</v>
      </c>
      <c r="Q2" s="2" t="n">
        <v>180</v>
      </c>
      <c r="R2" s="3" t="inlineStr">
        <is>
          <t>python3 03-composicion/compositor.py --minutos 180 --raiz 432 --modo shin --semilla 505716 --caracter sin-cuenco --registro grave</t>
        </is>
      </c>
      <c r="S2" s="2" t="inlineStr">
        <is>
          <t>python3 03-composicion/ambiente.py audio/OBRA-001_432_shin.wav audio/OBRA-001_final.wav --fondo mar</t>
        </is>
      </c>
      <c r="T2" s="4" t="inlineStr">
        <is>
          <t>pendiente</t>
        </is>
      </c>
      <c r="U2" s="4" t="inlineStr"/>
      <c r="V2" s="4" t="inlineStr"/>
      <c r="W2" s="4" t="inlineStr"/>
      <c r="X2" s="5">
        <f>IFERROR(W2/V2*1000,"")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Chapters:
00:00 [fill in after editing]</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Capítulos:
00:00 [completar tras el montaje]</t>
        </is>
      </c>
      <c r="H3" s="2" t="inlineStr">
        <is>
          <t>2 HOURS</t>
        </is>
      </c>
      <c r="I3" s="2" t="inlineStr">
        <is>
          <t>#SleepMusic #Meditation #528Hz</t>
        </is>
      </c>
      <c r="J3" s="3" t="inlineStr">
        <is>
          <t>528 hz, música 528 hz, música para dormir, sleep music, dormir, kumoi, música relajante, meditación, relajación, entonación justa, composición original, meditation music, relaxing music, singing bowls, just intonation</t>
        </is>
      </c>
      <c r="K3" s="4" t="inlineStr"/>
      <c r="L3" s="4" t="inlineStr"/>
      <c r="M3" s="2" t="n">
        <v>528</v>
      </c>
      <c r="N3" s="2" t="inlineStr">
        <is>
          <t>kumoi</t>
        </is>
      </c>
      <c r="O3" s="2" t="inlineStr">
        <is>
          <t>grave</t>
        </is>
      </c>
      <c r="P3" s="2" t="n">
        <v>443547</v>
      </c>
      <c r="Q3" s="2" t="n">
        <v>120</v>
      </c>
      <c r="R3" s="3" t="inlineStr">
        <is>
          <t>python3 03-composicion/compositor.py --minutos 120 --raiz 528 --modo kumoi --semilla 443547 --caracter sin-cuenco --registro grave</t>
        </is>
      </c>
      <c r="S3" s="2" t="inlineStr">
        <is>
          <t>python3 03-composicion/ambiente.py audio/OBRA-002_528_kumoi.wav audio/OBRA-002_final.wav --fondo mar</t>
        </is>
      </c>
      <c r="T3" s="4" t="inlineStr">
        <is>
          <t>pendiente</t>
        </is>
      </c>
      <c r="U3" s="4" t="inlineStr"/>
      <c r="V3" s="4" t="inlineStr"/>
      <c r="W3" s="4" t="inlineStr"/>
      <c r="X3" s="5">
        <f>IFERROR(W3/V3*1000,"")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Chapters:
00:00 [fill in after editing]</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Capítulos:
00:00 [completar tras el montaje]</t>
        </is>
      </c>
      <c r="H4" s="2" t="inlineStr">
        <is>
          <t>2 HOURS</t>
        </is>
      </c>
      <c r="I4" s="2" t="inlineStr">
        <is>
          <t>#SleepMusic #Meditation #396Hz</t>
        </is>
      </c>
      <c r="J4" s="3" t="inlineStr">
        <is>
          <t>396 hz, música 396 hz, música para dormir, sleep music, dormir, kumoi, música relajante, meditación, relajación, entonación justa, composición original, meditation music, relaxing music, singing bowls, just intonation</t>
        </is>
      </c>
      <c r="K4" s="4" t="inlineStr"/>
      <c r="L4" s="4" t="inlineStr"/>
      <c r="M4" s="2" t="n">
        <v>396</v>
      </c>
      <c r="N4" s="2" t="inlineStr">
        <is>
          <t>kumoi</t>
        </is>
      </c>
      <c r="O4" s="2" t="inlineStr">
        <is>
          <t>grave</t>
        </is>
      </c>
      <c r="P4" s="2" t="n">
        <v>692584</v>
      </c>
      <c r="Q4" s="2" t="n">
        <v>120</v>
      </c>
      <c r="R4" s="3" t="inlineStr">
        <is>
          <t>python3 03-composicion/compositor.py --minutos 120 --raiz 396 --modo kumoi --semilla 692584 --caracter sin-cuenco --registro grave</t>
        </is>
      </c>
      <c r="S4" s="2" t="inlineStr">
        <is>
          <t>python3 03-composicion/ambiente.py audio/OBRA-003_396_kumoi.wav audio/OBRA-003_final.wav --fondo mar</t>
        </is>
      </c>
      <c r="T4" s="4" t="inlineStr">
        <is>
          <t>pendiente</t>
        </is>
      </c>
      <c r="U4" s="4" t="inlineStr"/>
      <c r="V4" s="4" t="inlineStr"/>
      <c r="W4" s="4" t="inlineStr"/>
      <c r="X4" s="5">
        <f>IFERROR(W4/V4*1000,"")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Chapters:
00:00 [fill in after editing]</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Capítulos:
00:00 [completar tras el montaje]</t>
        </is>
      </c>
      <c r="H5" s="2" t="inlineStr">
        <is>
          <t>3 HOURS</t>
        </is>
      </c>
      <c r="I5" s="2" t="inlineStr">
        <is>
          <t>#SleepMusic #Meditation #528Hz</t>
        </is>
      </c>
      <c r="J5" s="3" t="inlineStr">
        <is>
          <t>528 hz, música 528 hz, música para dormir, sleep music, dormir, shin, música relajante, meditación, relajación, entonación justa, composición original, meditation music, relaxing music, singing bowls, just intonation</t>
        </is>
      </c>
      <c r="K5" s="4" t="inlineStr"/>
      <c r="L5" s="4" t="inlineStr"/>
      <c r="M5" s="2" t="n">
        <v>528</v>
      </c>
      <c r="N5" s="2" t="inlineStr">
        <is>
          <t>shin</t>
        </is>
      </c>
      <c r="O5" s="2" t="inlineStr">
        <is>
          <t>grave</t>
        </is>
      </c>
      <c r="P5" s="2" t="n">
        <v>751043</v>
      </c>
      <c r="Q5" s="2" t="n">
        <v>180</v>
      </c>
      <c r="R5" s="3" t="inlineStr">
        <is>
          <t>python3 03-composicion/compositor.py --minutos 180 --raiz 528 --modo shin --semilla 751043 --caracter sin-cuenco --registro grave</t>
        </is>
      </c>
      <c r="S5" s="2" t="inlineStr">
        <is>
          <t>python3 03-composicion/ambiente.py audio/OBRA-004_528_shin.wav audio/OBRA-004_final.wav --fondo mar</t>
        </is>
      </c>
      <c r="T5" s="4" t="inlineStr">
        <is>
          <t>pendiente</t>
        </is>
      </c>
      <c r="U5" s="4" t="inlineStr"/>
      <c r="V5" s="4" t="inlineStr"/>
      <c r="W5" s="4" t="inlineStr"/>
      <c r="X5" s="5">
        <f>IFERROR(W5/V5*1000,"")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Chapters:
00:00 [fill in after editing]</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Capítulos:
00:00 [completar tras el montaje]</t>
        </is>
      </c>
      <c r="H6" s="2" t="inlineStr">
        <is>
          <t>2 HOURS</t>
        </is>
      </c>
      <c r="I6" s="2" t="inlineStr">
        <is>
          <t>#SleepMusic #Meditation #432Hz</t>
        </is>
      </c>
      <c r="J6" s="3" t="inlineStr">
        <is>
          <t>432 hz, música 432 hz, música para dormir, sleep music, dormir, kumoi, música relajante, meditación, relajación, entonación justa, composición original, meditation music, relaxing music, singing bowls, just intonation</t>
        </is>
      </c>
      <c r="K6" s="4" t="inlineStr"/>
      <c r="L6" s="4" t="inlineStr"/>
      <c r="M6" s="2" t="n">
        <v>432</v>
      </c>
      <c r="N6" s="2" t="inlineStr">
        <is>
          <t>kumoi</t>
        </is>
      </c>
      <c r="O6" s="2" t="inlineStr">
        <is>
          <t>grave</t>
        </is>
      </c>
      <c r="P6" s="2" t="n">
        <v>531725</v>
      </c>
      <c r="Q6" s="2" t="n">
        <v>120</v>
      </c>
      <c r="R6" s="3" t="inlineStr">
        <is>
          <t>python3 03-composicion/compositor.py --minutos 120 --raiz 432 --modo kumoi --semilla 531725 --caracter sin-cuenco --registro grave</t>
        </is>
      </c>
      <c r="S6" s="2" t="inlineStr">
        <is>
          <t>python3 03-composicion/ambiente.py audio/OBRA-005_432_kumoi.wav audio/OBRA-005_final.wav --fondo mar</t>
        </is>
      </c>
      <c r="T6" s="4" t="inlineStr">
        <is>
          <t>pendiente</t>
        </is>
      </c>
      <c r="U6" s="4" t="inlineStr"/>
      <c r="V6" s="4" t="inlineStr"/>
      <c r="W6" s="4" t="inlineStr"/>
      <c r="X6" s="5">
        <f>IFERROR(W6/V6*1000,"")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Chapters:
00:00 [fill in after editing]</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Capítulos:
00:00 [completar tras el montaje]</t>
        </is>
      </c>
      <c r="H7" s="2" t="inlineStr">
        <is>
          <t>90 MIN</t>
        </is>
      </c>
      <c r="I7" s="2" t="inlineStr">
        <is>
          <t>#SleepMusic #Meditation #417Hz</t>
        </is>
      </c>
      <c r="J7" s="3" t="inlineStr">
        <is>
          <t>417 hz, música 417 hz, música para dormir, sleep music, dormir, kumoi, música relajante, meditación, relajación, entonación justa, composición original, meditation music, relaxing music, singing bowls, just intonation</t>
        </is>
      </c>
      <c r="K7" s="4" t="inlineStr"/>
      <c r="L7" s="4" t="inlineStr"/>
      <c r="M7" s="2" t="n">
        <v>417</v>
      </c>
      <c r="N7" s="2" t="inlineStr">
        <is>
          <t>kumoi</t>
        </is>
      </c>
      <c r="O7" s="2" t="inlineStr">
        <is>
          <t>grave</t>
        </is>
      </c>
      <c r="P7" s="2" t="n">
        <v>813147</v>
      </c>
      <c r="Q7" s="2" t="n">
        <v>90</v>
      </c>
      <c r="R7" s="3" t="inlineStr">
        <is>
          <t>python3 03-composicion/compositor.py --minutos 90 --raiz 417 --modo kumoi --semilla 813147 --caracter sin-cuenco --registro grave</t>
        </is>
      </c>
      <c r="S7" s="2" t="inlineStr">
        <is>
          <t>python3 03-composicion/ambiente.py audio/OBRA-006_417_kumoi.wav audio/OBRA-006_final.wav --fondo mar</t>
        </is>
      </c>
      <c r="T7" s="4" t="inlineStr">
        <is>
          <t>pendiente</t>
        </is>
      </c>
      <c r="U7" s="4" t="inlineStr"/>
      <c r="V7" s="4" t="inlineStr"/>
      <c r="W7" s="4" t="inlineStr"/>
      <c r="X7" s="5">
        <f>IFERROR(W7/V7*1000,"")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Chapters:
00:00 [fill in after editing]</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Capítulos:
00:00 [completar tras el montaje]</t>
        </is>
      </c>
      <c r="H8" s="2" t="inlineStr">
        <is>
          <t>2 HOURS</t>
        </is>
      </c>
      <c r="I8" s="2" t="inlineStr">
        <is>
          <t>#SleepMusic #Meditation #396Hz</t>
        </is>
      </c>
      <c r="J8" s="3" t="inlineStr">
        <is>
          <t>396 hz, música 396 hz, música para dormir, sleep music, dormir, shin, música relajante, meditación, relajación, entonación justa, composición original, meditation music, relaxing music, singing bowls, just intonation</t>
        </is>
      </c>
      <c r="K8" s="4" t="inlineStr"/>
      <c r="L8" s="4" t="inlineStr"/>
      <c r="M8" s="2" t="n">
        <v>396</v>
      </c>
      <c r="N8" s="2" t="inlineStr">
        <is>
          <t>shin</t>
        </is>
      </c>
      <c r="O8" s="2" t="inlineStr">
        <is>
          <t>grave</t>
        </is>
      </c>
      <c r="P8" s="2" t="n">
        <v>885916</v>
      </c>
      <c r="Q8" s="2" t="n">
        <v>120</v>
      </c>
      <c r="R8" s="3" t="inlineStr">
        <is>
          <t>python3 03-composicion/compositor.py --minutos 120 --raiz 396 --modo shin --semilla 885916 --caracter sin-cuenco --registro grave</t>
        </is>
      </c>
      <c r="S8" s="2" t="inlineStr">
        <is>
          <t>python3 03-composicion/ambiente.py audio/OBRA-007_396_shin.wav audio/OBRA-007_final.wav --fondo mar</t>
        </is>
      </c>
      <c r="T8" s="4" t="inlineStr">
        <is>
          <t>pendiente</t>
        </is>
      </c>
      <c r="U8" s="4" t="inlineStr"/>
      <c r="V8" s="4" t="inlineStr"/>
      <c r="W8" s="4" t="inlineStr"/>
      <c r="X8" s="5">
        <f>IFERROR(W8/V8*1000,"")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Chapters:
00:00 [fill in after editing]</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Capítulos:
00:00 [completar tras el montaje]</t>
        </is>
      </c>
      <c r="H9" s="2" t="inlineStr">
        <is>
          <t>3 HOURS</t>
        </is>
      </c>
      <c r="I9" s="2" t="inlineStr">
        <is>
          <t>#SleepMusic #Meditation #432Hz</t>
        </is>
      </c>
      <c r="J9" s="3" t="inlineStr">
        <is>
          <t>432 hz, música 432 hz, música para dormir, sleep music, dormir, kumoi, música relajante, meditación, relajación, entonación justa, composición original, meditation music, relaxing music, singing bowls, just intonation</t>
        </is>
      </c>
      <c r="K9" s="4" t="inlineStr"/>
      <c r="L9" s="4" t="inlineStr"/>
      <c r="M9" s="2" t="n">
        <v>432</v>
      </c>
      <c r="N9" s="2" t="inlineStr">
        <is>
          <t>kumoi</t>
        </is>
      </c>
      <c r="O9" s="2" t="inlineStr">
        <is>
          <t>grave</t>
        </is>
      </c>
      <c r="P9" s="2" t="n">
        <v>295910</v>
      </c>
      <c r="Q9" s="2" t="n">
        <v>180</v>
      </c>
      <c r="R9" s="3" t="inlineStr">
        <is>
          <t>python3 03-composicion/compositor.py --minutos 180 --raiz 432 --modo kumoi --semilla 295910 --caracter sin-cuenco --registro grave</t>
        </is>
      </c>
      <c r="S9" s="2" t="inlineStr">
        <is>
          <t>python3 03-composicion/ambiente.py audio/OBRA-008_432_kumoi.wav audio/OBRA-008_final.wav --fondo mar</t>
        </is>
      </c>
      <c r="T9" s="4" t="inlineStr">
        <is>
          <t>pendiente</t>
        </is>
      </c>
      <c r="U9" s="4" t="inlineStr"/>
      <c r="V9" s="4" t="inlineStr"/>
      <c r="W9" s="4" t="inlineStr"/>
      <c r="X9" s="5">
        <f>IFERROR(W9/V9*1000,"")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Chapters:
00:00 [fill in after editing]</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Capítulos:
00:00 [completar tras el montaje]</t>
        </is>
      </c>
      <c r="H10" s="2" t="inlineStr">
        <is>
          <t>25 MIN</t>
        </is>
      </c>
      <c r="I10" s="2" t="inlineStr">
        <is>
          <t>#RelaxingMusic #Meditation #396Hz</t>
        </is>
      </c>
      <c r="J10" s="3" t="inlineStr">
        <is>
          <t>396 hz, música 396 hz, música para momentos de ansiedad, music for anxiety, ansiedad, kumoi, música relajante, meditación, relajación, entonación justa, composición original, meditation music, relaxing music, sleep music, singing bowls, just intonation</t>
        </is>
      </c>
      <c r="K10" s="4" t="inlineStr"/>
      <c r="L10" s="4" t="inlineStr"/>
      <c r="M10" s="2" t="n">
        <v>396</v>
      </c>
      <c r="N10" s="2" t="inlineStr">
        <is>
          <t>kumoi</t>
        </is>
      </c>
      <c r="O10" s="2" t="inlineStr">
        <is>
          <t>medio</t>
        </is>
      </c>
      <c r="P10" s="2" t="n">
        <v>555819</v>
      </c>
      <c r="Q10" s="2" t="n">
        <v>25</v>
      </c>
      <c r="R10" s="3" t="inlineStr">
        <is>
          <t>python3 03-composicion/compositor.py --minutos 25 --raiz 396 --modo kumoi --semilla 555819 --caracter sin-cuenco</t>
        </is>
      </c>
      <c r="S10" s="2" t="inlineStr">
        <is>
          <t>python3 03-composicion/capas.py aves 1540 audio/OBRA-009_capa.wav --semilla 555819 &amp;&amp; python3 03-composicion/ambiente.py audio/OBRA-009_396_kumoi.wav audio/OBRA-009_final.wav --fondo mar --nivel-capa -4 --capa audio/OBRA-009_capa.wav</t>
        </is>
      </c>
      <c r="T10" s="4" t="inlineStr">
        <is>
          <t>pendiente</t>
        </is>
      </c>
      <c r="U10" s="4" t="inlineStr"/>
      <c r="V10" s="4" t="inlineStr"/>
      <c r="W10" s="4" t="inlineStr"/>
      <c r="X10" s="5">
        <f>IFERROR(W10/V10*1000,"")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Chapters:
00:00 [fill in after editing]</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Capítulos:
00:00 [completar tras el montaje]</t>
        </is>
      </c>
      <c r="H11" s="2" t="inlineStr">
        <is>
          <t>30 MIN</t>
        </is>
      </c>
      <c r="I11" s="2" t="inlineStr">
        <is>
          <t>#RelaxingMusic #Meditation #432Hz</t>
        </is>
      </c>
      <c r="J11" s="3" t="inlineStr">
        <is>
          <t>432 hz, música 432 hz, música para momentos de ansiedad, music for anxiety, ansiedad, hirajoshi, música relajante, meditación, relajación, entonación justa, composición original, meditation music, relaxing music, sleep music, singing bowls, just intonation</t>
        </is>
      </c>
      <c r="K11" s="4" t="inlineStr"/>
      <c r="L11" s="4" t="inlineStr"/>
      <c r="M11" s="2" t="n">
        <v>432</v>
      </c>
      <c r="N11" s="2" t="inlineStr">
        <is>
          <t>hirajoshi</t>
        </is>
      </c>
      <c r="O11" s="2" t="inlineStr">
        <is>
          <t>medio</t>
        </is>
      </c>
      <c r="P11" s="2" t="n">
        <v>739461</v>
      </c>
      <c r="Q11" s="2" t="n">
        <v>30</v>
      </c>
      <c r="R11" s="3" t="inlineStr">
        <is>
          <t>python3 03-composicion/compositor.py --minutos 30 --raiz 432 --modo hirajoshi --semilla 739461 --caracter sin-cuenco</t>
        </is>
      </c>
      <c r="S11" s="2" t="inlineStr">
        <is>
          <t>python3 03-composicion/capas.py zen 1840 audio/OBRA-010_capa.wav --semilla 739461 --densidad 1.4 &amp;&amp; python3 03-composicion/ambiente.py audio/OBRA-010_432_hirajoshi.wav audio/OBRA-010_final.wav --fondo mar --nivel-fondo -7 --nivel-capa 2 --capa audio/OBRA-010_capa.wav</t>
        </is>
      </c>
      <c r="T11" s="4" t="inlineStr">
        <is>
          <t>pendiente</t>
        </is>
      </c>
      <c r="U11" s="4" t="inlineStr"/>
      <c r="V11" s="4" t="inlineStr"/>
      <c r="W11" s="4" t="inlineStr"/>
      <c r="X11" s="5">
        <f>IFERROR(W11/V11*1000,"")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Chapters:
00:00 [fill in after editing]</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Capítulos:
00:00 [completar tras el montaje]</t>
        </is>
      </c>
      <c r="H12" s="2" t="inlineStr">
        <is>
          <t>20 MIN</t>
        </is>
      </c>
      <c r="I12" s="2" t="inlineStr">
        <is>
          <t>#RelaxingMusic #Meditation #528Hz</t>
        </is>
      </c>
      <c r="J12" s="3" t="inlineStr">
        <is>
          <t>528 hz, música 528 hz, música para momentos de ansiedad, music for anxiety, ansiedad, hirajoshi, música relajante, meditación, relajación, entonación justa, composición original, meditation music, relaxing music, sleep music, singing bowls, just intonation</t>
        </is>
      </c>
      <c r="K12" s="4" t="inlineStr"/>
      <c r="L12" s="4" t="inlineStr"/>
      <c r="M12" s="2" t="n">
        <v>528</v>
      </c>
      <c r="N12" s="2" t="inlineStr">
        <is>
          <t>hirajoshi</t>
        </is>
      </c>
      <c r="O12" s="2" t="inlineStr">
        <is>
          <t>medio</t>
        </is>
      </c>
      <c r="P12" s="2" t="n">
        <v>913368</v>
      </c>
      <c r="Q12" s="2" t="n">
        <v>20</v>
      </c>
      <c r="R12" s="3" t="inlineStr">
        <is>
          <t>python3 03-composicion/compositor.py --minutos 20 --raiz 528 --modo hirajoshi --semilla 913368 --caracter sin-cuenco</t>
        </is>
      </c>
      <c r="S12" s="2" t="inlineStr">
        <is>
          <t>python3 03-composicion/capas.py aves 1240 audio/OBRA-011_capa.wav --semilla 913368 &amp;&amp; python3 03-composicion/ambiente.py audio/OBRA-011_528_hirajoshi.wav audio/OBRA-011_final.wav --fondo mar --nivel-capa -4 --capa audio/OBRA-011_capa.wav</t>
        </is>
      </c>
      <c r="T12" s="4" t="inlineStr">
        <is>
          <t>pendiente</t>
        </is>
      </c>
      <c r="U12" s="4" t="inlineStr"/>
      <c r="V12" s="4" t="inlineStr"/>
      <c r="W12" s="4" t="inlineStr"/>
      <c r="X12" s="5">
        <f>IFERROR(W12/V12*1000,"")</f>
        <v/>
      </c>
    </row>
    <row r="13" ht="58" customHeight="1">
      <c r="A13" s="2" t="inlineStr">
        <is>
          <t>OBRA-012</t>
        </is>
      </c>
      <c r="B13" s="3" t="inlineStr">
        <is>
          <t>Music for Anxiety · Zen Temple · 528 Hz · Ten Minutes · 10 Minutes</t>
        </is>
      </c>
      <c r="C13" s="2" t="inlineStr">
        <is>
          <t>Música para momentos de ansiedad · Templo zen · 528 Hz · Diez minutos · 10 minutos</t>
        </is>
      </c>
      <c r="D13" s="2" t="inlineStr">
        <is>
          <t>Ansiedad</t>
        </is>
      </c>
      <c r="E13" s="2" t="inlineStr">
        <is>
          <t>zen</t>
        </is>
      </c>
      <c r="F13" s="3" t="inlineStr">
        <is>
          <t>Ten Minutes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Chapters:
00:00 [fill in after editing]</t>
        </is>
      </c>
      <c r="G13" s="2" t="inlineStr">
        <is>
          <t>Diez minutos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Capítulos:
00:00 [completar tras el montaje]</t>
        </is>
      </c>
      <c r="H13" s="2" t="inlineStr">
        <is>
          <t>10 MIN</t>
        </is>
      </c>
      <c r="I13" s="2" t="inlineStr">
        <is>
          <t>#RelaxingMusic #Meditation #528Hz</t>
        </is>
      </c>
      <c r="J13" s="3" t="inlineStr">
        <is>
          <t>528 hz, música 528 hz, música para momentos de ansiedad, music for anxiety, ansiedad, shin, música relajante, meditación, relajación, entonación justa, composición original, meditation music, relaxing music, sleep music, singing bowls, just intonation</t>
        </is>
      </c>
      <c r="K13" s="4" t="inlineStr"/>
      <c r="L13" s="4" t="inlineStr"/>
      <c r="M13" s="2" t="n">
        <v>528</v>
      </c>
      <c r="N13" s="2" t="inlineStr">
        <is>
          <t>shin</t>
        </is>
      </c>
      <c r="O13" s="2" t="inlineStr">
        <is>
          <t>medio</t>
        </is>
      </c>
      <c r="P13" s="2" t="n">
        <v>207307</v>
      </c>
      <c r="Q13" s="2" t="n">
        <v>10</v>
      </c>
      <c r="R13" s="3" t="inlineStr">
        <is>
          <t>python3 03-composicion/compositor.py --minutos 10 --raiz 528 --modo shin --semilla 207307 --caracter sin-cuenco</t>
        </is>
      </c>
      <c r="S13" s="2" t="inlineStr">
        <is>
          <t>python3 03-composicion/capas.py zen 640 audio/OBRA-012_capa.wav --semilla 207307 --densidad 1.4 &amp;&amp; python3 03-composicion/ambiente.py audio/OBRA-012_528_shin.wav audio/OBRA-012_final.wav --fondo mar --nivel-fondo -7 --nivel-capa 2 --capa audio/OBRA-012_capa.wav</t>
        </is>
      </c>
      <c r="T13" s="4" t="inlineStr">
        <is>
          <t>pendiente</t>
        </is>
      </c>
      <c r="U13" s="4" t="inlineStr"/>
      <c r="V13" s="4" t="inlineStr"/>
      <c r="W13" s="4" t="inlineStr"/>
      <c r="X13" s="5">
        <f>IFERROR(W13/V13*1000,"")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Chapters:
00:00 [fill in after editing]</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Capítulos:
00:00 [completar tras el montaje]</t>
        </is>
      </c>
      <c r="H14" s="2" t="inlineStr">
        <is>
          <t>20 MIN</t>
        </is>
      </c>
      <c r="I14" s="2" t="inlineStr">
        <is>
          <t>#RelaxingMusic #Meditation #432Hz</t>
        </is>
      </c>
      <c r="J14" s="3" t="inlineStr">
        <is>
          <t>432 hz, música 432 hz, música para momentos de ansiedad, music for anxiety, ansiedad, hirajoshi, música relajante, meditación, relajación, entonación justa, composición original, meditation music, relaxing music, sleep music, singing bowls, just intonation</t>
        </is>
      </c>
      <c r="K14" s="4" t="inlineStr"/>
      <c r="L14" s="4" t="inlineStr"/>
      <c r="M14" s="2" t="n">
        <v>432</v>
      </c>
      <c r="N14" s="2" t="inlineStr">
        <is>
          <t>hirajoshi</t>
        </is>
      </c>
      <c r="O14" s="2" t="inlineStr">
        <is>
          <t>medio</t>
        </is>
      </c>
      <c r="P14" s="2" t="n">
        <v>627771</v>
      </c>
      <c r="Q14" s="2" t="n">
        <v>20</v>
      </c>
      <c r="R14" s="3" t="inlineStr">
        <is>
          <t>python3 03-composicion/compositor.py --minutos 20 --raiz 432 --modo hirajoshi --semilla 627771 --caracter sin-cuenco</t>
        </is>
      </c>
      <c r="S14" s="2" t="inlineStr">
        <is>
          <t>python3 03-composicion/capas.py aves 1240 audio/OBRA-013_capa.wav --semilla 627771 &amp;&amp; python3 03-composicion/ambiente.py audio/OBRA-013_432_hirajoshi.wav audio/OBRA-013_final.wav --fondo mar --nivel-capa -4 --capa audio/OBRA-013_capa.wav</t>
        </is>
      </c>
      <c r="T14" s="4" t="inlineStr">
        <is>
          <t>pendiente</t>
        </is>
      </c>
      <c r="U14" s="4" t="inlineStr"/>
      <c r="V14" s="4" t="inlineStr"/>
      <c r="W14" s="4" t="inlineStr"/>
      <c r="X14" s="5">
        <f>IFERROR(W14/V14*1000,"")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Chapters:
00:00 [fill in after editing]</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Capítulos:
00:00 [completar tras el montaje]</t>
        </is>
      </c>
      <c r="H15" s="2" t="inlineStr">
        <is>
          <t>20 MIN</t>
        </is>
      </c>
      <c r="I15" s="2" t="inlineStr">
        <is>
          <t>#RelaxingMusic #Meditation #528Hz</t>
        </is>
      </c>
      <c r="J15" s="3" t="inlineStr">
        <is>
          <t>528 hz, música 528 hz, música para momentos de ansiedad, music for anxiety, ansiedad, yo, música relajante, meditación, relajación, entonación justa, composición original, meditation music, relaxing music, sleep music, singing bowls, just intonation</t>
        </is>
      </c>
      <c r="K15" s="4" t="inlineStr"/>
      <c r="L15" s="4" t="inlineStr"/>
      <c r="M15" s="2" t="n">
        <v>528</v>
      </c>
      <c r="N15" s="2" t="inlineStr">
        <is>
          <t>yo</t>
        </is>
      </c>
      <c r="O15" s="2" t="inlineStr">
        <is>
          <t>medio</t>
        </is>
      </c>
      <c r="P15" s="2" t="n">
        <v>310137</v>
      </c>
      <c r="Q15" s="2" t="n">
        <v>20</v>
      </c>
      <c r="R15" s="3" t="inlineStr">
        <is>
          <t>python3 03-composicion/compositor.py --minutos 20 --raiz 528 --modo yo --semilla 310137 --caracter sin-cuenco</t>
        </is>
      </c>
      <c r="S15" s="2" t="inlineStr">
        <is>
          <t>python3 03-composicion/capas.py zen 1240 audio/OBRA-014_capa.wav --semilla 310137 --densidad 1.4 &amp;&amp; python3 03-composicion/ambiente.py audio/OBRA-014_528_yo.wav audio/OBRA-014_final.wav --fondo mar --nivel-fondo -7 --nivel-capa 2 --capa audio/OBRA-014_capa.wav</t>
        </is>
      </c>
      <c r="T15" s="4" t="inlineStr">
        <is>
          <t>pendiente</t>
        </is>
      </c>
      <c r="U15" s="4" t="inlineStr"/>
      <c r="V15" s="4" t="inlineStr"/>
      <c r="W15" s="4" t="inlineStr"/>
      <c r="X15" s="5">
        <f>IFERROR(W15/V15*1000,"")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Chapters:
00:00 [fill in after editing]</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Capítulos:
00:00 [completar tras el montaje]</t>
        </is>
      </c>
      <c r="H16" s="2" t="inlineStr">
        <is>
          <t>15 MIN</t>
        </is>
      </c>
      <c r="I16" s="2" t="inlineStr">
        <is>
          <t>#RelaxingMusic #Meditation #639Hz</t>
        </is>
      </c>
      <c r="J16" s="3" t="inlineStr">
        <is>
          <t>639 hz, música 639 hz, música para momentos de ansiedad, music for anxiety, ansiedad, yo, música relajante, meditación, relajación, entonación justa, composición original, meditation music, relaxing music, sleep music, singing bowls, just intonation</t>
        </is>
      </c>
      <c r="K16" s="4" t="inlineStr"/>
      <c r="L16" s="4" t="inlineStr"/>
      <c r="M16" s="2" t="n">
        <v>639</v>
      </c>
      <c r="N16" s="2" t="inlineStr">
        <is>
          <t>yo</t>
        </is>
      </c>
      <c r="O16" s="2" t="inlineStr">
        <is>
          <t>medio</t>
        </is>
      </c>
      <c r="P16" s="2" t="n">
        <v>592463</v>
      </c>
      <c r="Q16" s="2" t="n">
        <v>15</v>
      </c>
      <c r="R16" s="3" t="inlineStr">
        <is>
          <t>python3 03-composicion/compositor.py --minutos 15 --raiz 639 --modo yo --semilla 592463 --caracter sin-cuenco</t>
        </is>
      </c>
      <c r="S16" s="2" t="inlineStr">
        <is>
          <t>python3 03-composicion/capas.py aves 940 audio/OBRA-015_capa.wav --semilla 592463 &amp;&amp; python3 03-composicion/ambiente.py audio/OBRA-015_639_yo.wav audio/OBRA-015_final.wav --fondo mar --nivel-capa -4 --capa audio/OBRA-015_capa.wav</t>
        </is>
      </c>
      <c r="T16" s="4" t="inlineStr">
        <is>
          <t>pendiente</t>
        </is>
      </c>
      <c r="U16" s="4" t="inlineStr"/>
      <c r="V16" s="4" t="inlineStr"/>
      <c r="W16" s="4" t="inlineStr"/>
      <c r="X16" s="5">
        <f>IFERROR(W16/V16*1000,"")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Chapters:
00:00 [fill in after editing]</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Capítulos:
00:00 [completar tras el montaje]</t>
        </is>
      </c>
      <c r="H17" s="2" t="inlineStr">
        <is>
          <t>30 MIN</t>
        </is>
      </c>
      <c r="I17" s="2" t="inlineStr">
        <is>
          <t>#RelaxingMusic #Meditation #417Hz</t>
        </is>
      </c>
      <c r="J17" s="3" t="inlineStr">
        <is>
          <t>417 hz, música 417 hz, música para momentos de ansiedad, music for anxiety, ansiedad, kumoi, música relajante, meditación, relajación, entonación justa, composición original, meditation music, relaxing music, sleep music, singing bowls, just intonation</t>
        </is>
      </c>
      <c r="K17" s="4" t="inlineStr"/>
      <c r="L17" s="4" t="inlineStr"/>
      <c r="M17" s="2" t="n">
        <v>417</v>
      </c>
      <c r="N17" s="2" t="inlineStr">
        <is>
          <t>kumoi</t>
        </is>
      </c>
      <c r="O17" s="2" t="inlineStr">
        <is>
          <t>medio</t>
        </is>
      </c>
      <c r="P17" s="2" t="n">
        <v>250697</v>
      </c>
      <c r="Q17" s="2" t="n">
        <v>30</v>
      </c>
      <c r="R17" s="3" t="inlineStr">
        <is>
          <t>python3 03-composicion/compositor.py --minutos 30 --raiz 417 --modo kumoi --semilla 250697 --caracter sin-cuenco</t>
        </is>
      </c>
      <c r="S17" s="2" t="inlineStr">
        <is>
          <t>python3 03-composicion/capas.py ancestral 1840 audio/OBRA-016_capa.wav --semilla 250697 &amp;&amp; python3 03-composicion/ambiente.py audio/OBRA-016_417_kumoi.wav audio/OBRA-016_final.wav --fondo fuego --nivel-capa 0 --nivel-obra -20 --capa audio/OBRA-016_capa.wav</t>
        </is>
      </c>
      <c r="T17" s="4" t="inlineStr">
        <is>
          <t>pendiente</t>
        </is>
      </c>
      <c r="U17" s="4" t="inlineStr"/>
      <c r="V17" s="4" t="inlineStr"/>
      <c r="W17" s="4" t="inlineStr"/>
      <c r="X17" s="5">
        <f>IFERROR(W17/V17*1000,"")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Chapters:
00:00 [fill in after editing]</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Capítulos:
00:00 [completar tras el montaje]</t>
        </is>
      </c>
      <c r="H18" s="2" t="inlineStr">
        <is>
          <t>45 MIN</t>
        </is>
      </c>
      <c r="I18" s="2" t="inlineStr">
        <is>
          <t>#MeditationMusic #Meditation #417Hz</t>
        </is>
      </c>
      <c r="J18" s="3" t="inlineStr">
        <is>
          <t>417 hz, música 417 hz, música para meditar, meditation music, meditar, hirajoshi, música relajante, meditación, relajación, entonación justa, composición original, relaxing music, sleep music, singing bowls, just intonation</t>
        </is>
      </c>
      <c r="K18" s="4" t="inlineStr"/>
      <c r="L18" s="4" t="inlineStr"/>
      <c r="M18" s="2" t="n">
        <v>417</v>
      </c>
      <c r="N18" s="2" t="inlineStr">
        <is>
          <t>hirajoshi</t>
        </is>
      </c>
      <c r="O18" s="2" t="inlineStr">
        <is>
          <t>medio</t>
        </is>
      </c>
      <c r="P18" s="2" t="n">
        <v>714152</v>
      </c>
      <c r="Q18" s="2" t="n">
        <v>45</v>
      </c>
      <c r="R18" s="3" t="inlineStr">
        <is>
          <t>python3 03-composicion/compositor.py --minutos 45 --raiz 417 --modo hirajoshi --semilla 714152 --caracter sin-cuenco</t>
        </is>
      </c>
      <c r="S18" s="2" t="inlineStr">
        <is>
          <t>python3 03-composicion/capas.py zen 2740 audio/OBRA-017_capa.wav --semilla 714152 --densidad 1.4 &amp;&amp; python3 03-composicion/ambiente.py audio/OBRA-017_417_hirajoshi.wav audio/OBRA-017_final.wav --fondo mar --nivel-fondo -7 --nivel-capa 2 --capa audio/OBRA-017_capa.wav</t>
        </is>
      </c>
      <c r="T18" s="4" t="inlineStr">
        <is>
          <t>pendiente</t>
        </is>
      </c>
      <c r="U18" s="4" t="inlineStr"/>
      <c r="V18" s="4" t="inlineStr"/>
      <c r="W18" s="4" t="inlineStr"/>
      <c r="X18" s="5">
        <f>IFERROR(W18/V18*1000,"")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Chapters:
00:00 [fill in after editing]</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Capítulos:
00:00 [completar tras el montaje]</t>
        </is>
      </c>
      <c r="H19" s="2" t="inlineStr">
        <is>
          <t>45 MIN</t>
        </is>
      </c>
      <c r="I19" s="2" t="inlineStr">
        <is>
          <t>#MeditationMusic #Meditation #528Hz</t>
        </is>
      </c>
      <c r="J19" s="3" t="inlineStr">
        <is>
          <t>528 hz, música 528 hz, música para meditar, meditation music, meditar, hirajoshi, música relajante, meditación, relajación, entonación justa, composición original, relaxing music, sleep music, singing bowls, just intonation</t>
        </is>
      </c>
      <c r="K19" s="4" t="inlineStr"/>
      <c r="L19" s="4" t="inlineStr"/>
      <c r="M19" s="2" t="n">
        <v>528</v>
      </c>
      <c r="N19" s="2" t="inlineStr">
        <is>
          <t>hirajoshi</t>
        </is>
      </c>
      <c r="O19" s="2" t="inlineStr">
        <is>
          <t>medio</t>
        </is>
      </c>
      <c r="P19" s="2" t="n">
        <v>735455</v>
      </c>
      <c r="Q19" s="2" t="n">
        <v>45</v>
      </c>
      <c r="R19" s="3" t="inlineStr">
        <is>
          <t>python3 03-composicion/compositor.py --minutos 45 --raiz 528 --modo hirajoshi --semilla 735455 --caracter sin-cuenco</t>
        </is>
      </c>
      <c r="S19" s="2" t="inlineStr">
        <is>
          <t>python3 03-composicion/capas.py zen 2740 audio/OBRA-018_capa.wav --semilla 735455 --densidad 1.4 &amp;&amp; python3 03-composicion/ambiente.py audio/OBRA-018_528_hirajoshi.wav audio/OBRA-018_final.wav --fondo mar --nivel-fondo -7 --nivel-capa 2 --capa audio/OBRA-018_capa.wav</t>
        </is>
      </c>
      <c r="T19" s="4" t="inlineStr">
        <is>
          <t>pendiente</t>
        </is>
      </c>
      <c r="U19" s="4" t="inlineStr"/>
      <c r="V19" s="4" t="inlineStr"/>
      <c r="W19" s="4" t="inlineStr"/>
      <c r="X19" s="5">
        <f>IFERROR(W19/V19*1000,"")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Chapters:
00:00 [fill in after editing]</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Capítulos:
00:00 [completar tras el montaje]</t>
        </is>
      </c>
      <c r="H20" s="2" t="inlineStr">
        <is>
          <t>60 MIN</t>
        </is>
      </c>
      <c r="I20" s="2" t="inlineStr">
        <is>
          <t>#MeditationMusic #Meditation #432Hz</t>
        </is>
      </c>
      <c r="J20" s="3" t="inlineStr">
        <is>
          <t>432 hz, música 432 hz, música para meditar, meditation music, meditar, shin, música relajante, meditación, relajación, entonación justa, composición original, relaxing music, sleep music, singing bowls, just intonation</t>
        </is>
      </c>
      <c r="K20" s="4" t="inlineStr"/>
      <c r="L20" s="4" t="inlineStr"/>
      <c r="M20" s="2" t="n">
        <v>432</v>
      </c>
      <c r="N20" s="2" t="inlineStr">
        <is>
          <t>shin</t>
        </is>
      </c>
      <c r="O20" s="2" t="inlineStr">
        <is>
          <t>medio</t>
        </is>
      </c>
      <c r="P20" s="2" t="n">
        <v>627577</v>
      </c>
      <c r="Q20" s="2" t="n">
        <v>60</v>
      </c>
      <c r="R20" s="3" t="inlineStr">
        <is>
          <t>python3 03-composicion/compositor.py --minutos 60 --raiz 432 --modo shin --semilla 627577 --caracter sin-cuenco</t>
        </is>
      </c>
      <c r="S20" s="2" t="inlineStr">
        <is>
          <t>python3 03-composicion/capas.py zen 3640 audio/OBRA-019_capa.wav --semilla 627577 --densidad 1.4 &amp;&amp; python3 03-composicion/ambiente.py audio/OBRA-019_432_shin.wav audio/OBRA-019_final.wav --fondo mar --nivel-fondo -7 --nivel-capa 2 --capa audio/OBRA-019_capa.wav</t>
        </is>
      </c>
      <c r="T20" s="4" t="inlineStr">
        <is>
          <t>pendiente</t>
        </is>
      </c>
      <c r="U20" s="4" t="inlineStr"/>
      <c r="V20" s="4" t="inlineStr"/>
      <c r="W20" s="4" t="inlineStr"/>
      <c r="X20" s="5">
        <f>IFERROR(W20/V20*1000,"")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Chapters:
00:00 [fill in after editing]</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Capítulos:
00:00 [completar tras el montaje]</t>
        </is>
      </c>
      <c r="H21" s="2" t="inlineStr">
        <is>
          <t>30 MIN</t>
        </is>
      </c>
      <c r="I21" s="2" t="inlineStr">
        <is>
          <t>#MeditationMusic #Meditation #528Hz</t>
        </is>
      </c>
      <c r="J21" s="3" t="inlineStr">
        <is>
          <t>528 hz, música 528 hz, música para meditar, meditation music, meditar, shin, música relajante, meditación, relajación, entonación justa, composición original, relaxing music, sleep music, singing bowls, just intonation</t>
        </is>
      </c>
      <c r="K21" s="4" t="inlineStr"/>
      <c r="L21" s="4" t="inlineStr"/>
      <c r="M21" s="2" t="n">
        <v>528</v>
      </c>
      <c r="N21" s="2" t="inlineStr">
        <is>
          <t>shin</t>
        </is>
      </c>
      <c r="O21" s="2" t="inlineStr">
        <is>
          <t>medio</t>
        </is>
      </c>
      <c r="P21" s="2" t="n">
        <v>632595</v>
      </c>
      <c r="Q21" s="2" t="n">
        <v>30</v>
      </c>
      <c r="R21" s="3" t="inlineStr">
        <is>
          <t>python3 03-composicion/compositor.py --minutos 30 --raiz 528 --modo shin --semilla 632595 --caracter sin-cuenco</t>
        </is>
      </c>
      <c r="S21" s="2" t="inlineStr">
        <is>
          <t>python3 03-composicion/capas.py ancestral 1840 audio/OBRA-020_capa.wav --semilla 632595 &amp;&amp; python3 03-composicion/ambiente.py audio/OBRA-020_528_shin.wav audio/OBRA-020_final.wav --fondo fuego --nivel-capa 0 --nivel-obra -20 --capa audio/OBRA-020_capa.wav</t>
        </is>
      </c>
      <c r="T21" s="4" t="inlineStr">
        <is>
          <t>pendiente</t>
        </is>
      </c>
      <c r="U21" s="4" t="inlineStr"/>
      <c r="V21" s="4" t="inlineStr"/>
      <c r="W21" s="4" t="inlineStr"/>
      <c r="X21" s="5">
        <f>IFERROR(W21/V21*1000,"")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Chapters:
00:00 [fill in after editing]</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Capítulos:
00:00 [completar tras el montaje]</t>
        </is>
      </c>
      <c r="H22" s="2" t="inlineStr">
        <is>
          <t>45 MIN</t>
        </is>
      </c>
      <c r="I22" s="2" t="inlineStr">
        <is>
          <t>#MeditationMusic #Meditation #396Hz</t>
        </is>
      </c>
      <c r="J22" s="3" t="inlineStr">
        <is>
          <t>396 hz, música 396 hz, música para meditar, meditation music, meditar, kumoi, música relajante, meditación, relajación, entonación justa, composición original, relaxing music, sleep music, singing bowls, just intonation</t>
        </is>
      </c>
      <c r="K22" s="4" t="inlineStr"/>
      <c r="L22" s="4" t="inlineStr"/>
      <c r="M22" s="2" t="n">
        <v>396</v>
      </c>
      <c r="N22" s="2" t="inlineStr">
        <is>
          <t>kumoi</t>
        </is>
      </c>
      <c r="O22" s="2" t="inlineStr">
        <is>
          <t>medio</t>
        </is>
      </c>
      <c r="P22" s="2" t="n">
        <v>864630</v>
      </c>
      <c r="Q22" s="2" t="n">
        <v>45</v>
      </c>
      <c r="R22" s="3" t="inlineStr">
        <is>
          <t>python3 03-composicion/compositor.py --minutos 45 --raiz 396 --modo kumoi --semilla 864630 --caracter sin-cuenco</t>
        </is>
      </c>
      <c r="S22" s="2" t="inlineStr">
        <is>
          <t>python3 03-composicion/capas.py zen 2740 audio/OBRA-021_capa.wav --semilla 864630 --densidad 1.4 &amp;&amp; python3 03-composicion/ambiente.py audio/OBRA-021_396_kumoi.wav audio/OBRA-021_final.wav --fondo mar --nivel-fondo -7 --nivel-capa 2 --capa audio/OBRA-021_capa.wav</t>
        </is>
      </c>
      <c r="T22" s="4" t="inlineStr">
        <is>
          <t>pendiente</t>
        </is>
      </c>
      <c r="U22" s="4" t="inlineStr"/>
      <c r="V22" s="4" t="inlineStr"/>
      <c r="W22" s="4" t="inlineStr"/>
      <c r="X22" s="5">
        <f>IFERROR(W22/V22*1000,"")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Chapters:
00:00 [fill in after editing]</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Capítulos:
00:00 [completar tras el montaje]</t>
        </is>
      </c>
      <c r="H23" s="2" t="inlineStr">
        <is>
          <t>60 MIN</t>
        </is>
      </c>
      <c r="I23" s="2" t="inlineStr">
        <is>
          <t>#MeditationMusic #Meditation #639Hz</t>
        </is>
      </c>
      <c r="J23" s="3" t="inlineStr">
        <is>
          <t>639 hz, música 639 hz, música para meditar, meditation music, meditar, yo, música relajante, meditación, relajación, entonación justa, composición original, relaxing music, sleep music, singing bowls, just intonation</t>
        </is>
      </c>
      <c r="K23" s="4" t="inlineStr"/>
      <c r="L23" s="4" t="inlineStr"/>
      <c r="M23" s="2" t="n">
        <v>639</v>
      </c>
      <c r="N23" s="2" t="inlineStr">
        <is>
          <t>yo</t>
        </is>
      </c>
      <c r="O23" s="2" t="inlineStr">
        <is>
          <t>medio</t>
        </is>
      </c>
      <c r="P23" s="2" t="n">
        <v>335798</v>
      </c>
      <c r="Q23" s="2" t="n">
        <v>60</v>
      </c>
      <c r="R23" s="3" t="inlineStr">
        <is>
          <t>python3 03-composicion/compositor.py --minutos 60 --raiz 639 --modo yo --semilla 335798 --caracter sin-cuenco</t>
        </is>
      </c>
      <c r="S23" s="2" t="inlineStr">
        <is>
          <t>python3 03-composicion/capas.py zen 3640 audio/OBRA-022_capa.wav --semilla 335798 --densidad 1.4 &amp;&amp; python3 03-composicion/ambiente.py audio/OBRA-022_639_yo.wav audio/OBRA-022_final.wav --fondo mar --nivel-fondo -7 --nivel-capa 2 --capa audio/OBRA-022_capa.wav</t>
        </is>
      </c>
      <c r="T23" s="4" t="inlineStr">
        <is>
          <t>pendiente</t>
        </is>
      </c>
      <c r="U23" s="4" t="inlineStr"/>
      <c r="V23" s="4" t="inlineStr"/>
      <c r="W23" s="4" t="inlineStr"/>
      <c r="X23" s="5">
        <f>IFERROR(W23/V23*1000,"")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Chapters:
00:00 [fill in after editing]</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Capítulos:
00:00 [completar tras el montaje]</t>
        </is>
      </c>
      <c r="H24" s="2" t="inlineStr">
        <is>
          <t>20 MIN</t>
        </is>
      </c>
      <c r="I24" s="2" t="inlineStr">
        <is>
          <t>#MeditationMusic #Meditation #528Hz</t>
        </is>
      </c>
      <c r="J24" s="3" t="inlineStr">
        <is>
          <t>528 hz, música 528 hz, música para meditar, meditation music, meditar, shin, música relajante, meditación, relajación, entonación justa, composición original, relaxing music, sleep music, singing bowls, just intonation</t>
        </is>
      </c>
      <c r="K24" s="4" t="inlineStr"/>
      <c r="L24" s="4" t="inlineStr"/>
      <c r="M24" s="2" t="n">
        <v>528</v>
      </c>
      <c r="N24" s="2" t="inlineStr">
        <is>
          <t>shin</t>
        </is>
      </c>
      <c r="O24" s="2" t="inlineStr">
        <is>
          <t>medio</t>
        </is>
      </c>
      <c r="P24" s="2" t="n">
        <v>299306</v>
      </c>
      <c r="Q24" s="2" t="n">
        <v>20</v>
      </c>
      <c r="R24" s="3" t="inlineStr">
        <is>
          <t>python3 03-composicion/compositor.py --minutos 20 --raiz 528 --modo shin --semilla 299306 --caracter sin-cuenco</t>
        </is>
      </c>
      <c r="S24" s="2" t="inlineStr">
        <is>
          <t>python3 03-composicion/capas.py zen 1240 audio/OBRA-023_capa.wav --semilla 299306 --densidad 1.4 &amp;&amp; python3 03-composicion/ambiente.py audio/OBRA-023_528_shin.wav audio/OBRA-023_final.wav --fondo mar --nivel-fondo -7 --nivel-capa 2 --capa audio/OBRA-023_capa.wav</t>
        </is>
      </c>
      <c r="T24" s="4" t="inlineStr">
        <is>
          <t>pendiente</t>
        </is>
      </c>
      <c r="U24" s="4" t="inlineStr"/>
      <c r="V24" s="4" t="inlineStr"/>
      <c r="W24" s="4" t="inlineStr"/>
      <c r="X24" s="5">
        <f>IFERROR(W24/V24*1000,"")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Chapters:
00:00 [fill in after editing]</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Capítulos:
00:00 [completar tras el montaje]</t>
        </is>
      </c>
      <c r="H25" s="2" t="inlineStr">
        <is>
          <t>60 MIN</t>
        </is>
      </c>
      <c r="I25" s="2" t="inlineStr">
        <is>
          <t>#MeditationMusic #Meditation #432Hz</t>
        </is>
      </c>
      <c r="J25" s="3" t="inlineStr">
        <is>
          <t>432 hz, música 432 hz, música para meditar, meditation music, meditar, kumoi, música relajante, meditación, relajación, entonación justa, composición original, relaxing music, sleep music, singing bowls, just intonation</t>
        </is>
      </c>
      <c r="K25" s="4" t="inlineStr"/>
      <c r="L25" s="4" t="inlineStr"/>
      <c r="M25" s="2" t="n">
        <v>432</v>
      </c>
      <c r="N25" s="2" t="inlineStr">
        <is>
          <t>kumoi</t>
        </is>
      </c>
      <c r="O25" s="2" t="inlineStr">
        <is>
          <t>medio</t>
        </is>
      </c>
      <c r="P25" s="2" t="n">
        <v>926202</v>
      </c>
      <c r="Q25" s="2" t="n">
        <v>60</v>
      </c>
      <c r="R25" s="3" t="inlineStr">
        <is>
          <t>python3 03-composicion/compositor.py --minutos 60 --raiz 432 --modo kumoi --semilla 926202 --caracter sin-cuenco</t>
        </is>
      </c>
      <c r="S25" s="2" t="inlineStr">
        <is>
          <t>python3 03-composicion/capas.py ancestral 3640 audio/OBRA-024_capa.wav --semilla 926202 &amp;&amp; python3 03-composicion/ambiente.py audio/OBRA-024_432_kumoi.wav audio/OBRA-024_final.wav --fondo fuego --nivel-capa 0 --nivel-obra -20 --capa audio/OBRA-024_capa.wav</t>
        </is>
      </c>
      <c r="T25" s="4" t="inlineStr">
        <is>
          <t>pendiente</t>
        </is>
      </c>
      <c r="U25" s="4" t="inlineStr"/>
      <c r="V25" s="4" t="inlineStr"/>
      <c r="W25" s="4" t="inlineStr"/>
      <c r="X25" s="5">
        <f>IFERROR(W25/V25*1000,"")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Chapters:
00:00 [fill in after editing]</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Capítulos:
00:00 [completar tras el montaje]</t>
        </is>
      </c>
      <c r="H26" s="2" t="inlineStr">
        <is>
          <t>528 HZ</t>
        </is>
      </c>
      <c r="I26" s="2" t="inlineStr">
        <is>
          <t>#RelaxingMusic #Meditation #528Hz</t>
        </is>
      </c>
      <c r="J26" s="3" t="inlineStr">
        <is>
          <t>528 hz, música 528 hz, música para soltar tensión, music to release tension, soltar, hirajoshi, música relajante, meditación, relajación, entonación justa, composición original, meditation music, relaxing music, sleep music, singing bowls, just intonation</t>
        </is>
      </c>
      <c r="K26" s="4" t="inlineStr"/>
      <c r="L26" s="4" t="inlineStr"/>
      <c r="M26" s="2" t="n">
        <v>528</v>
      </c>
      <c r="N26" s="2" t="inlineStr">
        <is>
          <t>hirajoshi</t>
        </is>
      </c>
      <c r="O26" s="2" t="inlineStr">
        <is>
          <t>medio</t>
        </is>
      </c>
      <c r="P26" s="2" t="n">
        <v>454078</v>
      </c>
      <c r="Q26" s="2" t="n">
        <v>60</v>
      </c>
      <c r="R26" s="3" t="inlineStr">
        <is>
          <t>python3 03-composicion/compositor.py --minutos 60 --raiz 528 --modo hirajoshi --semilla 454078 --caracter sin-cuenco</t>
        </is>
      </c>
      <c r="S26" s="2" t="inlineStr">
        <is>
          <t>python3 03-composicion/capas.py aves 3640 audio/OBRA-025_capa.wav --semilla 454078 &amp;&amp; python3 03-composicion/ambiente.py audio/OBRA-025_528_hirajoshi.wav audio/OBRA-025_final.wav --fondo mar --nivel-capa -4 --capa audio/OBRA-025_capa.wav</t>
        </is>
      </c>
      <c r="T26" s="4" t="inlineStr">
        <is>
          <t>pendiente</t>
        </is>
      </c>
      <c r="U26" s="4" t="inlineStr"/>
      <c r="V26" s="4" t="inlineStr"/>
      <c r="W26" s="4" t="inlineStr"/>
      <c r="X26" s="5">
        <f>IFERROR(W26/V26*1000,"")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Chapters:
00:00 [fill in after editing]</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Capítulos:
00:00 [completar tras el montaje]</t>
        </is>
      </c>
      <c r="H27" s="2" t="inlineStr">
        <is>
          <t>432 HZ</t>
        </is>
      </c>
      <c r="I27" s="2" t="inlineStr">
        <is>
          <t>#RelaxingMusic #Meditation #432Hz</t>
        </is>
      </c>
      <c r="J27" s="3" t="inlineStr">
        <is>
          <t>432 hz, música 432 hz, música para soltar tensión, music to release tension, soltar, kumoi, música relajante, meditación, relajación, entonación justa, composición original, meditation music, relaxing music, sleep music, singing bowls, just intonation</t>
        </is>
      </c>
      <c r="K27" s="4" t="inlineStr"/>
      <c r="L27" s="4" t="inlineStr"/>
      <c r="M27" s="2" t="n">
        <v>432</v>
      </c>
      <c r="N27" s="2" t="inlineStr">
        <is>
          <t>kumoi</t>
        </is>
      </c>
      <c r="O27" s="2" t="inlineStr">
        <is>
          <t>medio</t>
        </is>
      </c>
      <c r="P27" s="2" t="n">
        <v>146597</v>
      </c>
      <c r="Q27" s="2" t="n">
        <v>60</v>
      </c>
      <c r="R27" s="3" t="inlineStr">
        <is>
          <t>python3 03-composicion/compositor.py --minutos 60 --raiz 432 --modo kumoi --semilla 146597 --caracter sin-cuenco</t>
        </is>
      </c>
      <c r="S27" s="2" t="inlineStr">
        <is>
          <t>python3 03-composicion/ambiente.py audio/OBRA-026_432_kumoi.wav audio/OBRA-026_final.wav --fondo mar</t>
        </is>
      </c>
      <c r="T27" s="4" t="inlineStr">
        <is>
          <t>pendiente</t>
        </is>
      </c>
      <c r="U27" s="4" t="inlineStr"/>
      <c r="V27" s="4" t="inlineStr"/>
      <c r="W27" s="4" t="inlineStr"/>
      <c r="X27" s="5">
        <f>IFERROR(W27/V27*1000,"")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Chapters:
00:00 [fill in after editing]</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Capítulos:
00:00 [completar tras el montaje]</t>
        </is>
      </c>
      <c r="H28" s="2" t="inlineStr">
        <is>
          <t>396 HZ</t>
        </is>
      </c>
      <c r="I28" s="2" t="inlineStr">
        <is>
          <t>#RelaxingMusic #Meditation #396Hz</t>
        </is>
      </c>
      <c r="J28" s="3" t="inlineStr">
        <is>
          <t>396 hz, música 396 hz, música para soltar tensión, music to release tension, soltar, kumoi, música relajante, meditación, relajación, entonación justa, composición original, meditation music, relaxing music, sleep music, singing bowls, just intonation</t>
        </is>
      </c>
      <c r="K28" s="4" t="inlineStr"/>
      <c r="L28" s="4" t="inlineStr"/>
      <c r="M28" s="2" t="n">
        <v>396</v>
      </c>
      <c r="N28" s="2" t="inlineStr">
        <is>
          <t>kumoi</t>
        </is>
      </c>
      <c r="O28" s="2" t="inlineStr">
        <is>
          <t>medio</t>
        </is>
      </c>
      <c r="P28" s="2" t="n">
        <v>338018</v>
      </c>
      <c r="Q28" s="2" t="n">
        <v>60</v>
      </c>
      <c r="R28" s="3" t="inlineStr">
        <is>
          <t>python3 03-composicion/compositor.py --minutos 60 --raiz 396 --modo kumoi --semilla 338018 --caracter sin-cuenco</t>
        </is>
      </c>
      <c r="S28" s="2" t="inlineStr">
        <is>
          <t>python3 03-composicion/capas.py ancestral 3640 audio/OBRA-027_capa.wav --semilla 338018 &amp;&amp; python3 03-composicion/ambiente.py audio/OBRA-027_396_kumoi.wav audio/OBRA-027_final.wav --fondo fuego --nivel-capa 0 --nivel-obra -20 --capa audio/OBRA-027_capa.wav</t>
        </is>
      </c>
      <c r="T28" s="4" t="inlineStr">
        <is>
          <t>pendiente</t>
        </is>
      </c>
      <c r="U28" s="4" t="inlineStr"/>
      <c r="V28" s="4" t="inlineStr"/>
      <c r="W28" s="4" t="inlineStr"/>
      <c r="X28" s="5">
        <f>IFERROR(W28/V28*1000,"")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Chapters:
00:00 [fill in after editing]</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Capítulos:
00:00 [completar tras el montaje]</t>
        </is>
      </c>
      <c r="H29" s="2" t="inlineStr">
        <is>
          <t>417 HZ</t>
        </is>
      </c>
      <c r="I29" s="2" t="inlineStr">
        <is>
          <t>#RelaxingMusic #Meditation #417Hz</t>
        </is>
      </c>
      <c r="J29" s="3" t="inlineStr">
        <is>
          <t>417 hz, música 417 hz, música para soltar tensión, music to release tension, soltar, hirajoshi, música relajante, meditación, relajación, entonación justa, composición original, meditation music, relaxing music, sleep music, singing bowls, just intonation</t>
        </is>
      </c>
      <c r="K29" s="4" t="inlineStr"/>
      <c r="L29" s="4" t="inlineStr"/>
      <c r="M29" s="2" t="n">
        <v>417</v>
      </c>
      <c r="N29" s="2" t="inlineStr">
        <is>
          <t>hirajoshi</t>
        </is>
      </c>
      <c r="O29" s="2" t="inlineStr">
        <is>
          <t>medio</t>
        </is>
      </c>
      <c r="P29" s="2" t="n">
        <v>409966</v>
      </c>
      <c r="Q29" s="2" t="n">
        <v>45</v>
      </c>
      <c r="R29" s="3" t="inlineStr">
        <is>
          <t>python3 03-composicion/compositor.py --minutos 45 --raiz 417 --modo hirajoshi --semilla 409966 --caracter sin-cuenco</t>
        </is>
      </c>
      <c r="S29" s="2" t="inlineStr">
        <is>
          <t>python3 03-composicion/capas.py zen 2740 audio/OBRA-028_capa.wav --semilla 409966 --densidad 1.4 &amp;&amp; python3 03-composicion/ambiente.py audio/OBRA-028_417_hirajoshi.wav audio/OBRA-028_final.wav --fondo mar --nivel-fondo -7 --nivel-capa 2 --capa audio/OBRA-028_capa.wav</t>
        </is>
      </c>
      <c r="T29" s="4" t="inlineStr">
        <is>
          <t>pendiente</t>
        </is>
      </c>
      <c r="U29" s="4" t="inlineStr"/>
      <c r="V29" s="4" t="inlineStr"/>
      <c r="W29" s="4" t="inlineStr"/>
      <c r="X29" s="5">
        <f>IFERROR(W29/V29*1000,"")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Chapters:
00:00 [fill in after editing]</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Capítulos:
00:00 [completar tras el montaje]</t>
        </is>
      </c>
      <c r="H30" s="2" t="inlineStr">
        <is>
          <t>639 HZ</t>
        </is>
      </c>
      <c r="I30" s="2" t="inlineStr">
        <is>
          <t>#RelaxingMusic #Meditation #639Hz</t>
        </is>
      </c>
      <c r="J30" s="3" t="inlineStr">
        <is>
          <t>639 hz, música 639 hz, música para soltar tensión, music to release tension, soltar, yo, música relajante, meditación, relajación, entonación justa, composición original, meditation music, relaxing music, sleep music, singing bowls, just intonation</t>
        </is>
      </c>
      <c r="K30" s="4" t="inlineStr"/>
      <c r="L30" s="4" t="inlineStr"/>
      <c r="M30" s="2" t="n">
        <v>639</v>
      </c>
      <c r="N30" s="2" t="inlineStr">
        <is>
          <t>yo</t>
        </is>
      </c>
      <c r="O30" s="2" t="inlineStr">
        <is>
          <t>medio</t>
        </is>
      </c>
      <c r="P30" s="2" t="n">
        <v>133046</v>
      </c>
      <c r="Q30" s="2" t="n">
        <v>60</v>
      </c>
      <c r="R30" s="3" t="inlineStr">
        <is>
          <t>python3 03-composicion/compositor.py --minutos 60 --raiz 639 --modo yo --semilla 133046 --caracter sin-cuenco</t>
        </is>
      </c>
      <c r="S30" s="2" t="inlineStr">
        <is>
          <t>python3 03-composicion/capas.py aves 3640 audio/OBRA-029_capa.wav --semilla 133046 --densidad 2 &amp;&amp; python3 03-composicion/ambiente.py audio/OBRA-029_639_yo.wav audio/OBRA-029_final.wav --fondo selva --nivel-capa -2 --capa audio/OBRA-029_capa.wav</t>
        </is>
      </c>
      <c r="T30" s="4" t="inlineStr">
        <is>
          <t>pendiente</t>
        </is>
      </c>
      <c r="U30" s="4" t="inlineStr"/>
      <c r="V30" s="4" t="inlineStr"/>
      <c r="W30" s="4" t="inlineStr"/>
      <c r="X30" s="5">
        <f>IFERROR(W30/V30*1000,"")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Chapters:
00:00 [fill in after editing]</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Capítulos:
00:00 [completar tras el montaje]</t>
        </is>
      </c>
      <c r="H31" s="2" t="inlineStr">
        <is>
          <t>741 HZ</t>
        </is>
      </c>
      <c r="I31" s="2" t="inlineStr">
        <is>
          <t>#RelaxingMusic #Meditation #741Hz</t>
        </is>
      </c>
      <c r="J31" s="3" t="inlineStr">
        <is>
          <t>741 hz, música 741 hz, música para soltar tensión, music to release tension, soltar, yo, música relajante, meditación, relajación, entonación justa, composición original, meditation music, relaxing music, sleep music, singing bowls, just intonation</t>
        </is>
      </c>
      <c r="K31" s="4" t="inlineStr"/>
      <c r="L31" s="4" t="inlineStr"/>
      <c r="M31" s="2" t="n">
        <v>741</v>
      </c>
      <c r="N31" s="2" t="inlineStr">
        <is>
          <t>yo</t>
        </is>
      </c>
      <c r="O31" s="2" t="inlineStr">
        <is>
          <t>medio</t>
        </is>
      </c>
      <c r="P31" s="2" t="n">
        <v>244487</v>
      </c>
      <c r="Q31" s="2" t="n">
        <v>45</v>
      </c>
      <c r="R31" s="3" t="inlineStr">
        <is>
          <t>python3 03-composicion/compositor.py --minutos 45 --raiz 741 --modo yo --semilla 244487 --caracter sin-cuenco</t>
        </is>
      </c>
      <c r="S31" s="2" t="inlineStr">
        <is>
          <t>python3 03-composicion/capas.py aves 2740 audio/OBRA-030_capa.wav --semilla 244487 &amp;&amp; python3 03-composicion/ambiente.py audio/OBRA-030_741_yo.wav audio/OBRA-030_final.wav --fondo mar --nivel-capa -4 --capa audio/OBRA-030_capa.wav</t>
        </is>
      </c>
      <c r="T31" s="4" t="inlineStr">
        <is>
          <t>pendiente</t>
        </is>
      </c>
      <c r="U31" s="4" t="inlineStr"/>
      <c r="V31" s="4" t="inlineStr"/>
      <c r="W31" s="4" t="inlineStr"/>
      <c r="X31" s="5">
        <f>IFERROR(W31/V31*1000,"")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Chapters:
00:00 [fill in after editing]</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Capítulos:
00:00 [completar tras el montaje]</t>
        </is>
      </c>
      <c r="H32" s="2" t="inlineStr">
        <is>
          <t>852 HZ</t>
        </is>
      </c>
      <c r="I32" s="2" t="inlineStr">
        <is>
          <t>#RelaxingMusic #Meditation #852Hz</t>
        </is>
      </c>
      <c r="J32" s="3" t="inlineStr">
        <is>
          <t>852 hz, música 852 hz, música para soltar tensión, music to release tension, soltar, hirajoshi, música relajante, meditación, relajación, entonación justa, composición original, meditation music, relaxing music, sleep music, singing bowls, just intonation</t>
        </is>
      </c>
      <c r="K32" s="4" t="inlineStr"/>
      <c r="L32" s="4" t="inlineStr"/>
      <c r="M32" s="2" t="n">
        <v>852</v>
      </c>
      <c r="N32" s="2" t="inlineStr">
        <is>
          <t>hirajoshi</t>
        </is>
      </c>
      <c r="O32" s="2" t="inlineStr">
        <is>
          <t>medio</t>
        </is>
      </c>
      <c r="P32" s="2" t="n">
        <v>288169</v>
      </c>
      <c r="Q32" s="2" t="n">
        <v>45</v>
      </c>
      <c r="R32" s="3" t="inlineStr">
        <is>
          <t>python3 03-composicion/compositor.py --minutos 45 --raiz 852 --modo hirajoshi --semilla 288169 --caracter sin-cuenco</t>
        </is>
      </c>
      <c r="S32" s="2" t="inlineStr">
        <is>
          <t>python3 03-composicion/capas.py zen 2740 audio/OBRA-031_capa.wav --semilla 288169 --densidad 1.4 &amp;&amp; python3 03-composicion/ambiente.py audio/OBRA-031_852_hirajoshi.wav audio/OBRA-031_final.wav --fondo mar --nivel-fondo -7 --nivel-capa 2 --capa audio/OBRA-031_capa.wav</t>
        </is>
      </c>
      <c r="T32" s="4" t="inlineStr">
        <is>
          <t>pendiente</t>
        </is>
      </c>
      <c r="U32" s="4" t="inlineStr"/>
      <c r="V32" s="4" t="inlineStr"/>
      <c r="W32" s="4" t="inlineStr"/>
      <c r="X32" s="5">
        <f>IFERROR(W32/V32*1000,"")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Chapters:
00:00 [fill in after editing]</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Capítulos:
00:00 [completar tras el montaje]</t>
        </is>
      </c>
      <c r="H33" s="2" t="inlineStr">
        <is>
          <t>528 HZ</t>
        </is>
      </c>
      <c r="I33" s="2" t="inlineStr">
        <is>
          <t>#RelaxingMusic #Meditation #528Hz</t>
        </is>
      </c>
      <c r="J33" s="3" t="inlineStr">
        <is>
          <t>528 hz, música 528 hz, música para soltar tensión, music to release tension, soltar, hirajoshi, música relajante, meditación, relajación, entonación justa, composición original, meditation music, relaxing music, sleep music, singing bowls, just intonation</t>
        </is>
      </c>
      <c r="K33" s="4" t="inlineStr"/>
      <c r="L33" s="4" t="inlineStr"/>
      <c r="M33" s="2" t="n">
        <v>528</v>
      </c>
      <c r="N33" s="2" t="inlineStr">
        <is>
          <t>hirajoshi</t>
        </is>
      </c>
      <c r="O33" s="2" t="inlineStr">
        <is>
          <t>medio</t>
        </is>
      </c>
      <c r="P33" s="2" t="n">
        <v>638156</v>
      </c>
      <c r="Q33" s="2" t="n">
        <v>180</v>
      </c>
      <c r="R33" s="3" t="inlineStr">
        <is>
          <t>python3 03-composicion/compositor.py --minutos 180 --raiz 528 --modo hirajoshi --semilla 638156 --caracter sin-cuenco</t>
        </is>
      </c>
      <c r="S33" s="2" t="inlineStr">
        <is>
          <t>python3 03-composicion/capas.py aves 10840 audio/OBRA-032_capa.wav --semilla 638156 &amp;&amp; python3 03-composicion/ambiente.py audio/OBRA-032_528_hirajoshi.wav audio/OBRA-032_final.wav --fondo mar --nivel-capa -4 --capa audio/OBRA-032_capa.wav</t>
        </is>
      </c>
      <c r="T33" s="4" t="inlineStr">
        <is>
          <t>pendiente</t>
        </is>
      </c>
      <c r="U33" s="4" t="inlineStr"/>
      <c r="V33" s="4" t="inlineStr"/>
      <c r="W33" s="4" t="inlineStr"/>
      <c r="X33" s="5">
        <f>IFERROR(W33/V33*1000,"")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Chapters:
00:00 [fill in after editing]</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Capítulos:
00:00 [completar tras el montaje]</t>
        </is>
      </c>
      <c r="H34" s="2" t="inlineStr">
        <is>
          <t>2 HOURS</t>
        </is>
      </c>
      <c r="I34" s="2" t="inlineStr">
        <is>
          <t>#FocusMusic #Meditation #639Hz</t>
        </is>
      </c>
      <c r="J34" s="3" t="inlineStr">
        <is>
          <t>639 hz, música 639 hz, música para concentrarse, focus music, concentración, yo, música relajante, meditación, relajación, entonación justa, composición original, meditation music, relaxing music, sleep music, singing bowls, just intonation</t>
        </is>
      </c>
      <c r="K34" s="4" t="inlineStr"/>
      <c r="L34" s="4" t="inlineStr"/>
      <c r="M34" s="2" t="n">
        <v>639</v>
      </c>
      <c r="N34" s="2" t="inlineStr">
        <is>
          <t>yo</t>
        </is>
      </c>
      <c r="O34" s="2" t="inlineStr">
        <is>
          <t>grave</t>
        </is>
      </c>
      <c r="P34" s="2" t="n">
        <v>112334</v>
      </c>
      <c r="Q34" s="2" t="n">
        <v>120</v>
      </c>
      <c r="R34" s="3" t="inlineStr">
        <is>
          <t>python3 03-composicion/compositor.py --minutos 120 --raiz 639 --modo yo --semilla 112334 --caracter sin-cuenco --registro grave</t>
        </is>
      </c>
      <c r="S34" s="2" t="inlineStr">
        <is>
          <t>python3 03-composicion/capas.py aves 7240 audio/OBRA-033_capa.wav --semilla 112334 --densidad 2 &amp;&amp; python3 03-composicion/ambiente.py audio/OBRA-033_639_yo.wav audio/OBRA-033_final.wav --fondo selva --nivel-capa -2 --capa audio/OBRA-033_capa.wav</t>
        </is>
      </c>
      <c r="T34" s="4" t="inlineStr">
        <is>
          <t>pendiente</t>
        </is>
      </c>
      <c r="U34" s="4" t="inlineStr"/>
      <c r="V34" s="4" t="inlineStr"/>
      <c r="W34" s="4" t="inlineStr"/>
      <c r="X34" s="5">
        <f>IFERROR(W34/V34*1000,"")</f>
        <v/>
      </c>
    </row>
    <row r="35" ht="58" customHeight="1">
      <c r="A35" s="2" t="inlineStr">
        <is>
          <t>OBRA-034</t>
        </is>
      </c>
      <c r="B35" s="3" t="inlineStr">
        <is>
          <t>Focus Music · Ocean and Birds · 528 Hz · Three Hours · 3 Hours</t>
        </is>
      </c>
      <c r="C35" s="2" t="inlineStr">
        <is>
          <t>Música para concentrarse · Mar y pájaros · 528 Hz · Tres horas · 3 horas</t>
        </is>
      </c>
      <c r="D35" s="2" t="inlineStr">
        <is>
          <t>Concentración</t>
        </is>
      </c>
      <c r="E35" s="2" t="inlineStr">
        <is>
          <t>mar-aves</t>
        </is>
      </c>
      <c r="F35" s="3" t="inlineStr">
        <is>
          <t>Three Hours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Chapters:
00:00 [fill in after editing]</t>
        </is>
      </c>
      <c r="G35" s="2" t="inlineStr">
        <is>
          <t>Tres horas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Capítulos:
00:00 [completar tras el montaje]</t>
        </is>
      </c>
      <c r="H35" s="2" t="inlineStr">
        <is>
          <t>3 HOURS</t>
        </is>
      </c>
      <c r="I35" s="2" t="inlineStr">
        <is>
          <t>#FocusMusic #Meditation #528Hz</t>
        </is>
      </c>
      <c r="J35" s="3" t="inlineStr">
        <is>
          <t>528 hz, música 528 hz, música para concentrarse, focus music, concentración, yo, música relajante, meditación, relajación, entonación justa, composición original, meditation music, relaxing music, sleep music, singing bowls, just intonation</t>
        </is>
      </c>
      <c r="K35" s="4" t="inlineStr"/>
      <c r="L35" s="4" t="inlineStr"/>
      <c r="M35" s="2" t="n">
        <v>528</v>
      </c>
      <c r="N35" s="2" t="inlineStr">
        <is>
          <t>yo</t>
        </is>
      </c>
      <c r="O35" s="2" t="inlineStr">
        <is>
          <t>grave</t>
        </is>
      </c>
      <c r="P35" s="2" t="n">
        <v>935486</v>
      </c>
      <c r="Q35" s="2" t="n">
        <v>180</v>
      </c>
      <c r="R35" s="3" t="inlineStr">
        <is>
          <t>python3 03-composicion/compositor.py --minutos 180 --raiz 528 --modo yo --semilla 935486 --caracter sin-cuenco --registro grave</t>
        </is>
      </c>
      <c r="S35" s="2" t="inlineStr">
        <is>
          <t>python3 03-composicion/capas.py aves 10840 audio/OBRA-034_capa.wav --semilla 935486 &amp;&amp; python3 03-composicion/ambiente.py audio/OBRA-034_528_yo.wav audio/OBRA-034_final.wav --fondo mar --nivel-capa -4 --capa audio/OBRA-034_capa.wav</t>
        </is>
      </c>
      <c r="T35" s="4" t="inlineStr">
        <is>
          <t>pendiente</t>
        </is>
      </c>
      <c r="U35" s="4" t="inlineStr"/>
      <c r="V35" s="4" t="inlineStr"/>
      <c r="W35" s="4" t="inlineStr"/>
      <c r="X35" s="5">
        <f>IFERROR(W35/V35*1000,"")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Chapters:
00:00 [fill in after editing]</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Capítulos:
00:00 [completar tras el montaje]</t>
        </is>
      </c>
      <c r="H36" s="2" t="inlineStr">
        <is>
          <t>2 HOURS</t>
        </is>
      </c>
      <c r="I36" s="2" t="inlineStr">
        <is>
          <t>#FocusMusic #Meditation #741Hz</t>
        </is>
      </c>
      <c r="J36" s="3" t="inlineStr">
        <is>
          <t>741 hz, música 741 hz, música para concentrarse, focus music, concentración, yo, música relajante, meditación, relajación, entonación justa, composición original, meditation music, relaxing music, sleep music, singing bowls, just intonation</t>
        </is>
      </c>
      <c r="K36" s="4" t="inlineStr"/>
      <c r="L36" s="4" t="inlineStr"/>
      <c r="M36" s="2" t="n">
        <v>741</v>
      </c>
      <c r="N36" s="2" t="inlineStr">
        <is>
          <t>yo</t>
        </is>
      </c>
      <c r="O36" s="2" t="inlineStr">
        <is>
          <t>grave</t>
        </is>
      </c>
      <c r="P36" s="2" t="n">
        <v>74636</v>
      </c>
      <c r="Q36" s="2" t="n">
        <v>120</v>
      </c>
      <c r="R36" s="3" t="inlineStr">
        <is>
          <t>python3 03-composicion/compositor.py --minutos 120 --raiz 741 --modo yo --semilla 74636 --caracter sin-cuenco --registro grave</t>
        </is>
      </c>
      <c r="S36" s="2" t="inlineStr">
        <is>
          <t>python3 03-composicion/capas.py aves 7240 audio/OBRA-035_capa.wav --semilla 74636 --densidad 2 &amp;&amp; python3 03-composicion/ambiente.py audio/OBRA-035_741_yo.wav audio/OBRA-035_final.wav --fondo selva --nivel-capa -2 --capa audio/OBRA-035_capa.wav</t>
        </is>
      </c>
      <c r="T36" s="4" t="inlineStr">
        <is>
          <t>pendiente</t>
        </is>
      </c>
      <c r="U36" s="4" t="inlineStr"/>
      <c r="V36" s="4" t="inlineStr"/>
      <c r="W36" s="4" t="inlineStr"/>
      <c r="X36" s="5">
        <f>IFERROR(W36/V36*1000,"")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Chapters:
00:00 [fill in after editing]</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Capítulos:
00:00 [completar tras el montaje]</t>
        </is>
      </c>
      <c r="H37" s="2" t="inlineStr">
        <is>
          <t>90 MIN</t>
        </is>
      </c>
      <c r="I37" s="2" t="inlineStr">
        <is>
          <t>#FocusMusic #Meditation #852Hz</t>
        </is>
      </c>
      <c r="J37" s="3" t="inlineStr">
        <is>
          <t>852 hz, música 852 hz, música para concentrarse, focus music, concentración, yo, música relajante, meditación, relajación, entonación justa, composición original, meditation music, relaxing music, sleep music, singing bowls, just intonation</t>
        </is>
      </c>
      <c r="K37" s="4" t="inlineStr"/>
      <c r="L37" s="4" t="inlineStr"/>
      <c r="M37" s="2" t="n">
        <v>852</v>
      </c>
      <c r="N37" s="2" t="inlineStr">
        <is>
          <t>yo</t>
        </is>
      </c>
      <c r="O37" s="2" t="inlineStr">
        <is>
          <t>grave</t>
        </is>
      </c>
      <c r="P37" s="2" t="n">
        <v>903477</v>
      </c>
      <c r="Q37" s="2" t="n">
        <v>90</v>
      </c>
      <c r="R37" s="3" t="inlineStr">
        <is>
          <t>python3 03-composicion/compositor.py --minutos 90 --raiz 852 --modo yo --semilla 903477 --caracter sin-cuenco --registro grave</t>
        </is>
      </c>
      <c r="S37" s="2" t="inlineStr">
        <is>
          <t>python3 03-composicion/capas.py aves 5440 audio/OBRA-036_capa.wav --semilla 903477 &amp;&amp; python3 03-composicion/ambiente.py audio/OBRA-036_852_yo.wav audio/OBRA-036_final.wav --fondo mar --nivel-capa -4 --capa audio/OBRA-036_capa.wav</t>
        </is>
      </c>
      <c r="T37" s="4" t="inlineStr">
        <is>
          <t>pendiente</t>
        </is>
      </c>
      <c r="U37" s="4" t="inlineStr"/>
      <c r="V37" s="4" t="inlineStr"/>
      <c r="W37" s="4" t="inlineStr"/>
      <c r="X37" s="5">
        <f>IFERROR(W37/V37*1000,"")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Chapters:
00:00 [fill in after editing]</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Capítulos:
00:00 [completar tras el montaje]</t>
        </is>
      </c>
      <c r="H38" s="2" t="inlineStr">
        <is>
          <t>2 HOURS</t>
        </is>
      </c>
      <c r="I38" s="2" t="inlineStr">
        <is>
          <t>#FocusMusic #Meditation #432Hz</t>
        </is>
      </c>
      <c r="J38" s="3" t="inlineStr">
        <is>
          <t>432 hz, música 432 hz, música para concentrarse, focus music, concentración, yo, música relajante, meditación, relajación, entonación justa, composición original, meditation music, relaxing music, sleep music, singing bowls, just intonation</t>
        </is>
      </c>
      <c r="K38" s="4" t="inlineStr"/>
      <c r="L38" s="4" t="inlineStr"/>
      <c r="M38" s="2" t="n">
        <v>432</v>
      </c>
      <c r="N38" s="2" t="inlineStr">
        <is>
          <t>yo</t>
        </is>
      </c>
      <c r="O38" s="2" t="inlineStr">
        <is>
          <t>grave</t>
        </is>
      </c>
      <c r="P38" s="2" t="n">
        <v>718809</v>
      </c>
      <c r="Q38" s="2" t="n">
        <v>120</v>
      </c>
      <c r="R38" s="3" t="inlineStr">
        <is>
          <t>python3 03-composicion/compositor.py --minutos 120 --raiz 432 --modo yo --semilla 718809 --caracter sin-cuenco --registro grave</t>
        </is>
      </c>
      <c r="S38" s="2" t="inlineStr">
        <is>
          <t>python3 03-composicion/capas.py aves 7240 audio/OBRA-037_capa.wav --semilla 718809 --densidad 2 &amp;&amp; python3 03-composicion/ambiente.py audio/OBRA-037_432_yo.wav audio/OBRA-037_final.wav --fondo selva --nivel-capa -2 --capa audio/OBRA-037_capa.wav</t>
        </is>
      </c>
      <c r="T38" s="4" t="inlineStr">
        <is>
          <t>pendiente</t>
        </is>
      </c>
      <c r="U38" s="4" t="inlineStr"/>
      <c r="V38" s="4" t="inlineStr"/>
      <c r="W38" s="4" t="inlineStr"/>
      <c r="X38" s="5">
        <f>IFERROR(W38/V38*1000,"")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Chapters:
00:00 [fill in after editing]</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Capítulos:
00:00 [completar tras el montaje]</t>
        </is>
      </c>
      <c r="H39" s="2" t="inlineStr">
        <is>
          <t>2 HOURS</t>
        </is>
      </c>
      <c r="I39" s="2" t="inlineStr">
        <is>
          <t>#FocusMusic #Meditation #528Hz</t>
        </is>
      </c>
      <c r="J39" s="3" t="inlineStr">
        <is>
          <t>528 hz, música 528 hz, música para concentrarse, focus music, concentración, shin, música relajante, meditación, relajación, entonación justa, composición original, meditation music, relaxing music, sleep music, singing bowls, just intonation</t>
        </is>
      </c>
      <c r="K39" s="4" t="inlineStr"/>
      <c r="L39" s="4" t="inlineStr"/>
      <c r="M39" s="2" t="n">
        <v>528</v>
      </c>
      <c r="N39" s="2" t="inlineStr">
        <is>
          <t>shin</t>
        </is>
      </c>
      <c r="O39" s="2" t="inlineStr">
        <is>
          <t>grave</t>
        </is>
      </c>
      <c r="P39" s="2" t="n">
        <v>203246</v>
      </c>
      <c r="Q39" s="2" t="n">
        <v>120</v>
      </c>
      <c r="R39" s="3" t="inlineStr">
        <is>
          <t>python3 03-composicion/compositor.py --minutos 120 --raiz 528 --modo shin --semilla 203246 --caracter sin-cuenco --registro grave</t>
        </is>
      </c>
      <c r="S39" s="2" t="inlineStr">
        <is>
          <t>python3 03-composicion/ambiente.py audio/OBRA-038_528_shin.wav audio/OBRA-038_final.wav --fondo mar</t>
        </is>
      </c>
      <c r="T39" s="4" t="inlineStr">
        <is>
          <t>pendiente</t>
        </is>
      </c>
      <c r="U39" s="4" t="inlineStr"/>
      <c r="V39" s="4" t="inlineStr"/>
      <c r="W39" s="4" t="inlineStr"/>
      <c r="X39" s="5">
        <f>IFERROR(W39/V39*1000,"")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Chapters:
00:00 [fill in after editing]</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Capítulos:
00:00 [completar tras el montaje]</t>
        </is>
      </c>
      <c r="H40" s="2" t="inlineStr">
        <is>
          <t>90 MIN</t>
        </is>
      </c>
      <c r="I40" s="2" t="inlineStr">
        <is>
          <t>#FocusMusic #Meditation #639Hz</t>
        </is>
      </c>
      <c r="J40" s="3" t="inlineStr">
        <is>
          <t>639 hz, música 639 hz, música para concentrarse, focus music, concentración, yo, música relajante, meditación, relajación, entonación justa, composición original, meditation music, relaxing music, sleep music, singing bowls, just intonation</t>
        </is>
      </c>
      <c r="K40" s="4" t="inlineStr"/>
      <c r="L40" s="4" t="inlineStr"/>
      <c r="M40" s="2" t="n">
        <v>639</v>
      </c>
      <c r="N40" s="2" t="inlineStr">
        <is>
          <t>yo</t>
        </is>
      </c>
      <c r="O40" s="2" t="inlineStr">
        <is>
          <t>grave</t>
        </is>
      </c>
      <c r="P40" s="2" t="n">
        <v>281608</v>
      </c>
      <c r="Q40" s="2" t="n">
        <v>90</v>
      </c>
      <c r="R40" s="3" t="inlineStr">
        <is>
          <t>python3 03-composicion/compositor.py --minutos 90 --raiz 639 --modo yo --semilla 281608 --caracter sin-cuenco --registro grave</t>
        </is>
      </c>
      <c r="S40" s="2" t="inlineStr">
        <is>
          <t>python3 03-composicion/capas.py aves 5440 audio/OBRA-039_capa.wav --semilla 281608 --densidad 2 &amp;&amp; python3 03-composicion/ambiente.py audio/OBRA-039_639_yo.wav audio/OBRA-039_final.wav --fondo selva --nivel-capa -2 --capa audio/OBRA-039_capa.wav</t>
        </is>
      </c>
      <c r="T40" s="4" t="inlineStr">
        <is>
          <t>pendiente</t>
        </is>
      </c>
      <c r="U40" s="4" t="inlineStr"/>
      <c r="V40" s="4" t="inlineStr"/>
      <c r="W40" s="4" t="inlineStr"/>
      <c r="X40" s="5">
        <f>IFERROR(W40/V40*1000,"")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Chapters:
00:00 [fill in after editing]</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Capítulos:
00:00 [completar tras el montaje]</t>
        </is>
      </c>
      <c r="H41" s="2" t="inlineStr">
        <is>
          <t>3 HOURS</t>
        </is>
      </c>
      <c r="I41" s="2" t="inlineStr">
        <is>
          <t>#FocusMusic #Meditation #741Hz</t>
        </is>
      </c>
      <c r="J41" s="3" t="inlineStr">
        <is>
          <t>741 hz, música 741 hz, música para concentrarse, focus music, concentración, yo, música relajante, meditación, relajación, entonación justa, composición original, meditation music, relaxing music, sleep music, singing bowls, just intonation</t>
        </is>
      </c>
      <c r="K41" s="4" t="inlineStr"/>
      <c r="L41" s="4" t="inlineStr"/>
      <c r="M41" s="2" t="n">
        <v>741</v>
      </c>
      <c r="N41" s="2" t="inlineStr">
        <is>
          <t>yo</t>
        </is>
      </c>
      <c r="O41" s="2" t="inlineStr">
        <is>
          <t>grave</t>
        </is>
      </c>
      <c r="P41" s="2" t="n">
        <v>883876</v>
      </c>
      <c r="Q41" s="2" t="n">
        <v>180</v>
      </c>
      <c r="R41" s="3" t="inlineStr">
        <is>
          <t>python3 03-composicion/compositor.py --minutos 180 --raiz 741 --modo yo --semilla 883876 --caracter sin-cuenco --registro grave</t>
        </is>
      </c>
      <c r="S41" s="2" t="inlineStr">
        <is>
          <t>python3 03-composicion/capas.py aves 10840 audio/OBRA-040_capa.wav --semilla 883876 &amp;&amp; python3 03-composicion/ambiente.py audio/OBRA-040_741_yo.wav audio/OBRA-040_final.wav --fondo mar --nivel-capa -4 --capa audio/OBRA-040_capa.wav</t>
        </is>
      </c>
      <c r="T41" s="4" t="inlineStr">
        <is>
          <t>pendiente</t>
        </is>
      </c>
      <c r="U41" s="4" t="inlineStr"/>
      <c r="V41" s="4" t="inlineStr"/>
      <c r="W41" s="4" t="inlineStr"/>
      <c r="X41" s="5">
        <f>IFERROR(W41/V41*1000,"")</f>
        <v/>
      </c>
    </row>
  </sheetData>
  <autoFilter ref="A1:X4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COUNTA(Catálogo!A2:A41)</f>
        <v/>
      </c>
    </row>
    <row r="3">
      <c r="A3" s="7" t="inlineStr">
        <is>
          <t>Pendientes</t>
        </is>
      </c>
      <c r="B3" s="7">
        <f>COUNTIF(Catálogo!T2:T41,"pendiente")</f>
        <v/>
      </c>
    </row>
    <row r="4">
      <c r="A4" s="7" t="inlineStr">
        <is>
          <t>Compuestas</t>
        </is>
      </c>
      <c r="B4" s="7">
        <f>COUNTIF(Catálogo!T2:T41,"compuesta")</f>
        <v/>
      </c>
    </row>
    <row r="5">
      <c r="A5" s="7" t="inlineStr">
        <is>
          <t>Montadas</t>
        </is>
      </c>
      <c r="B5" s="7">
        <f>COUNTIF(Catálogo!T2:T41,"montada")</f>
        <v/>
      </c>
    </row>
    <row r="6">
      <c r="A6" s="7" t="inlineStr">
        <is>
          <t>Publicadas</t>
        </is>
      </c>
      <c r="B6" s="7">
        <f>COUNTIF(Catálogo!T2:T41,"publicada")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COUNTIF(Catálogo!D2:D41,A10)</f>
        <v/>
      </c>
      <c r="C10" s="7">
        <f>COUNTIFS(Catálogo!D2:D41,A10,Catálogo!T2:T41,"publicada")</f>
        <v/>
      </c>
      <c r="D10" s="7">
        <f>SUMIF(Catálogo!D2:D41,A10,Catálogo!Q2:Q41)</f>
        <v/>
      </c>
    </row>
    <row r="11">
      <c r="A11" s="7" t="inlineStr">
        <is>
          <t>Ansiedad</t>
        </is>
      </c>
      <c r="B11" s="7">
        <f>COUNTIF(Catálogo!D2:D41,A11)</f>
        <v/>
      </c>
      <c r="C11" s="7">
        <f>COUNTIFS(Catálogo!D2:D41,A11,Catálogo!T2:T41,"publicada")</f>
        <v/>
      </c>
      <c r="D11" s="7">
        <f>SUMIF(Catálogo!D2:D41,A11,Catálogo!Q2:Q41)</f>
        <v/>
      </c>
    </row>
    <row r="12">
      <c r="A12" s="7" t="inlineStr">
        <is>
          <t>Meditar</t>
        </is>
      </c>
      <c r="B12" s="7">
        <f>COUNTIF(Catálogo!D2:D41,A12)</f>
        <v/>
      </c>
      <c r="C12" s="7">
        <f>COUNTIFS(Catálogo!D2:D41,A12,Catálogo!T2:T41,"publicada")</f>
        <v/>
      </c>
      <c r="D12" s="7">
        <f>SUMIF(Catálogo!D2:D41,A12,Catálogo!Q2:Q41)</f>
        <v/>
      </c>
    </row>
    <row r="13">
      <c r="A13" s="7" t="inlineStr">
        <is>
          <t>Soltar</t>
        </is>
      </c>
      <c r="B13" s="7">
        <f>COUNTIF(Catálogo!D2:D41,A13)</f>
        <v/>
      </c>
      <c r="C13" s="7">
        <f>COUNTIFS(Catálogo!D2:D41,A13,Catálogo!T2:T41,"publicada")</f>
        <v/>
      </c>
      <c r="D13" s="7">
        <f>SUMIF(Catálogo!D2:D41,A13,Catálogo!Q2:Q41)</f>
        <v/>
      </c>
    </row>
    <row r="14">
      <c r="A14" s="7" t="inlineStr">
        <is>
          <t>Concentración</t>
        </is>
      </c>
      <c r="B14" s="7">
        <f>COUNTIF(Catálogo!D2:D41,A14)</f>
        <v/>
      </c>
      <c r="C14" s="7">
        <f>COUNTIFS(Catálogo!D2:D41,A14,Catálogo!T2:T41,"publicada")</f>
        <v/>
      </c>
      <c r="D14" s="7">
        <f>SUMIF(Catálogo!D2:D41,A14,Catálogo!Q2:Q41)</f>
        <v/>
      </c>
    </row>
    <row r="15">
      <c r="A15" s="8" t="inlineStr">
        <is>
          <t>TOTAL</t>
        </is>
      </c>
      <c r="B15" s="8">
        <f>SUM(B10:B14)</f>
        <v/>
      </c>
      <c r="C15" s="8">
        <f>SUM(C10:C14)</f>
        <v/>
      </c>
      <c r="D15" s="8">
        <f>SUM(D10:D14)</f>
        <v/>
      </c>
    </row>
    <row r="17">
      <c r="A17" s="6" t="inlineStr">
        <is>
          <t>Rendimiento</t>
        </is>
      </c>
    </row>
    <row r="18">
      <c r="A18" s="7" t="inlineStr">
        <is>
          <t>Vistas totales</t>
        </is>
      </c>
      <c r="B18" s="7">
        <f>SUM(Catálogo!V2:V41)</f>
        <v/>
      </c>
    </row>
    <row r="19">
      <c r="A19" s="7" t="inlineStr">
        <is>
          <t>Suscriptores totales</t>
        </is>
      </c>
      <c r="B19" s="7">
        <f>SUM(Catálogo!W2:W41)</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o lluvia-tambor.</t>
        </is>
      </c>
    </row>
    <row r="12">
      <c r="A12" s="8" t="inlineStr">
        <is>
          <t>comando_ambiente</t>
        </is>
      </c>
      <c r="B12" s="11" t="inlineStr">
        <is>
          <t>Segundo paso: envuelve la obra compuesta en su ambiente.</t>
        </is>
      </c>
    </row>
    <row r="13">
      <c r="A13" s="8" t="inlineStr">
        <is>
          <t>descripcion_optimizada</t>
        </is>
      </c>
      <c r="B13" s="11" t="inlineStr">
        <is>
          <t>Descripción bilingüe lista para pegar. Solo falta añadir los capítulos tras el montaje.</t>
        </is>
      </c>
    </row>
    <row r="14">
      <c r="A14" s="8" t="inlineStr">
        <is>
          <t>titulo_miniatura</t>
        </is>
      </c>
      <c r="B14" s="11" t="inlineStr">
        <is>
          <t>Texto de la miniatura: 2-4 palabras que COMPLETAN el título, nunca lo repiten.</t>
        </is>
      </c>
    </row>
    <row r="15">
      <c r="A15" s="8" t="inlineStr">
        <is>
          <t>hashtags</t>
        </is>
      </c>
      <c r="B15" s="11" t="inlineStr">
        <is>
          <t>Tres, al final de la descripción.</t>
        </is>
      </c>
    </row>
    <row r="16">
      <c r="A16" s="8" t="inlineStr">
        <is>
          <t>etiquetas</t>
        </is>
      </c>
      <c r="B16" s="11" t="inlineStr">
        <is>
          <t>Etiquetas del video, separadas por coma.</t>
        </is>
      </c>
    </row>
    <row r="17">
      <c r="A17" s="8" t="inlineStr">
        <is>
          <t>imagen_miniatura</t>
        </is>
      </c>
      <c r="B17" s="11" t="inlineStr">
        <is>
          <t>AMARILLA. Ruta o URL de la portada una vez generada.</t>
        </is>
      </c>
    </row>
    <row r="18">
      <c r="A18" s="8" t="inlineStr">
        <is>
          <t>url_video</t>
        </is>
      </c>
      <c r="B18" s="11" t="inlineStr">
        <is>
          <t>AMARILLA. URL de YouTube una vez publicado.</t>
        </is>
      </c>
    </row>
    <row r="19">
      <c r="A19" s="8" t="inlineStr">
        <is>
          <t>raiz_hz / modo / registro / semilla</t>
        </is>
      </c>
      <c r="B19" s="11" t="inlineStr">
        <is>
          <t>Parámetros de composición. El registro grave baja una octava (Dormir y Concentración). La semilla regenera la obra idéntica.</t>
        </is>
      </c>
    </row>
    <row r="20">
      <c r="A20" s="8" t="inlineStr">
        <is>
          <t>comando_regeneracion</t>
        </is>
      </c>
      <c r="B20" s="11" t="inlineStr">
        <is>
          <t>Comando exacto. Copiar, pegar y ejecutar: devuelve el mismo audio bit a bit.</t>
        </is>
      </c>
    </row>
    <row r="21">
      <c r="A21" s="8" t="inlineStr">
        <is>
          <t>estado</t>
        </is>
      </c>
      <c r="B21" s="11" t="inlineStr">
        <is>
          <t>AMARILLA. pendiente / compuesta / montada / publicada</t>
        </is>
      </c>
    </row>
    <row r="22">
      <c r="A22" s="8" t="inlineStr">
        <is>
          <t>fecha_publicacion</t>
        </is>
      </c>
      <c r="B22" s="11" t="inlineStr">
        <is>
          <t>AMARILLA. Formato AAAA-MM-DD.</t>
        </is>
      </c>
    </row>
    <row r="23">
      <c r="A23" s="8" t="inlineStr">
        <is>
          <t>vistas / suscriptores</t>
        </is>
      </c>
      <c r="B23" s="11" t="inlineStr">
        <is>
          <t>AMARILLA. Copiar de YouTube Studio a los 14 días de publicar.</t>
        </is>
      </c>
    </row>
    <row r="24">
      <c r="A24" s="8" t="inlineStr">
        <is>
          <t>subs_por_1000</t>
        </is>
      </c>
      <c r="B24" s="11" t="inlineStr">
        <is>
          <t>Calculada. Es la métrica que decide el canal: por debajo de 1, el problema es la portada, no la música.</t>
        </is>
      </c>
    </row>
    <row r="25">
      <c r="A25" s="6" t="inlineStr"/>
    </row>
    <row r="26">
      <c r="A26" s="8" t="inlineStr">
        <is>
          <t>Ejemplo de fila rellenada</t>
        </is>
      </c>
      <c r="B26"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2026-09-23T03:06:14Z</dcterms:created>
  <dcterms:modified xsi:type="dcterms:W3CDTF">2026-09-23T03:06:14Z</dcterms:modified>
</cp:coreProperties>
</file>