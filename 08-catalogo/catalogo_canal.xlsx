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atálogo" sheetId="1" state="visible" r:id="rId1"/>
    <sheet name="Resumen" sheetId="2" state="visible" r:id="rId2"/>
    <sheet name="Leyenda" sheetId="3" state="visible" r:id="rId3"/>
  </sheets>
  <definedNames>
    <definedName name="_xlnm._FilterDatabase" localSheetId="0" hidden="1">'Catálogo'!$A$1:$X$41</definedName>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name val="Arial"/>
      <b val="1"/>
      <color rgb="00FFFFFF"/>
      <sz val="10"/>
    </font>
    <font>
      <name val="Arial"/>
      <sz val="10"/>
    </font>
    <font>
      <name val="Arial"/>
      <color rgb="000000FF"/>
      <sz val="10"/>
    </font>
    <font>
      <name val="Arial"/>
      <b val="1"/>
      <sz val="11"/>
    </font>
    <font>
      <name val="Arial"/>
      <b val="1"/>
      <sz val="10"/>
    </font>
    <font>
      <name val="Arial"/>
      <i val="1"/>
      <sz val="9"/>
    </font>
  </fonts>
  <fills count="4">
    <fill>
      <patternFill/>
    </fill>
    <fill>
      <patternFill patternType="gray125"/>
    </fill>
    <fill>
      <patternFill patternType="solid">
        <fgColor rgb="001F3B4D"/>
      </patternFill>
    </fill>
    <fill>
      <patternFill patternType="solid">
        <fgColor rgb="00FFFF00"/>
      </patternFill>
    </fill>
  </fills>
  <borders count="2">
    <border>
      <left/>
      <right/>
      <top/>
      <bottom/>
      <diagonal/>
    </border>
    <border>
      <bottom style="thin">
        <color rgb="00BBBBBB"/>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0" fontId="3" fillId="3" borderId="1" applyAlignment="1" pivotButton="0" quotePrefix="0" xfId="0">
      <alignment vertical="top"/>
    </xf>
    <xf numFmtId="164" fontId="2" fillId="0" borderId="1" applyAlignment="1" pivotButton="0" quotePrefix="0" xfId="0">
      <alignment vertical="top"/>
    </xf>
    <xf numFmtId="0" fontId="4" fillId="0" borderId="0" pivotButton="0" quotePrefix="0" xfId="0"/>
    <xf numFmtId="0" fontId="2" fillId="0" borderId="0" pivotButton="0" quotePrefix="0" xfId="0"/>
    <xf numFmtId="0" fontId="5" fillId="0" borderId="0" pivotButton="0" quotePrefix="0" xfId="0"/>
    <xf numFmtId="2" fontId="2" fillId="0" borderId="0" pivotButton="0" quotePrefix="0" xfId="0"/>
    <xf numFmtId="0" fontId="6" fillId="0" borderId="0" pivotButton="0" quotePrefix="0" xfId="0"/>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X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70" customWidth="1" min="2" max="2"/>
    <col width="70" customWidth="1" min="3" max="3"/>
    <col width="13" customWidth="1" min="4" max="4"/>
    <col width="14" customWidth="1" min="5" max="5"/>
    <col width="60" customWidth="1" min="6" max="6"/>
    <col width="60" customWidth="1" min="7" max="7"/>
    <col width="17" customWidth="1" min="8" max="8"/>
    <col width="34" customWidth="1" min="9" max="9"/>
    <col width="60" customWidth="1" min="10" max="10"/>
    <col width="24" customWidth="1" min="11" max="11"/>
    <col width="30" customWidth="1" min="12" max="12"/>
    <col width="9" customWidth="1" min="13" max="13"/>
    <col width="12" customWidth="1" min="14" max="14"/>
    <col width="11" customWidth="1" min="15" max="15"/>
    <col width="10" customWidth="1" min="16" max="16"/>
    <col width="13" customWidth="1" min="17" max="17"/>
    <col width="62" customWidth="1" min="18" max="18"/>
    <col width="62" customWidth="1" min="19" max="19"/>
    <col width="13" customWidth="1" min="20" max="20"/>
    <col width="18" customWidth="1" min="21" max="21"/>
    <col width="10" customWidth="1" min="22" max="22"/>
    <col width="13" customWidth="1" min="23" max="23"/>
    <col width="14" customWidth="1" min="24" max="24"/>
  </cols>
  <sheetData>
    <row r="1">
      <c r="A1" s="1" t="inlineStr">
        <is>
          <t>id</t>
        </is>
      </c>
      <c r="B1" s="1" t="inlineStr">
        <is>
          <t>titulo</t>
        </is>
      </c>
      <c r="C1" s="1" t="inlineStr">
        <is>
          <t>titulo_es</t>
        </is>
      </c>
      <c r="D1" s="1" t="inlineStr">
        <is>
          <t>tema</t>
        </is>
      </c>
      <c r="E1" s="1" t="inlineStr">
        <is>
          <t>ambiente</t>
        </is>
      </c>
      <c r="F1" s="1" t="inlineStr">
        <is>
          <t>descripcion_optimizada</t>
        </is>
      </c>
      <c r="G1" s="1" t="inlineStr">
        <is>
          <t>descripcion_es</t>
        </is>
      </c>
      <c r="H1" s="1" t="inlineStr">
        <is>
          <t>titulo_miniatura</t>
        </is>
      </c>
      <c r="I1" s="1" t="inlineStr">
        <is>
          <t>hashtags</t>
        </is>
      </c>
      <c r="J1" s="1" t="inlineStr">
        <is>
          <t>etiquetas</t>
        </is>
      </c>
      <c r="K1" s="1" t="inlineStr">
        <is>
          <t>imagen_miniatura</t>
        </is>
      </c>
      <c r="L1" s="1" t="inlineStr">
        <is>
          <t>url_video</t>
        </is>
      </c>
      <c r="M1" s="1" t="inlineStr">
        <is>
          <t>raiz_hz</t>
        </is>
      </c>
      <c r="N1" s="1" t="inlineStr">
        <is>
          <t>modo</t>
        </is>
      </c>
      <c r="O1" s="1" t="inlineStr">
        <is>
          <t>registro</t>
        </is>
      </c>
      <c r="P1" s="1" t="inlineStr">
        <is>
          <t>semilla</t>
        </is>
      </c>
      <c r="Q1" s="1" t="inlineStr">
        <is>
          <t>duracion_min</t>
        </is>
      </c>
      <c r="R1" s="1" t="inlineStr">
        <is>
          <t>comando_regeneracion</t>
        </is>
      </c>
      <c r="S1" s="1" t="inlineStr">
        <is>
          <t>comando_ambiente</t>
        </is>
      </c>
      <c r="T1" s="1" t="inlineStr">
        <is>
          <t>estado</t>
        </is>
      </c>
      <c r="U1" s="1" t="inlineStr">
        <is>
          <t>fecha_publicacion</t>
        </is>
      </c>
      <c r="V1" s="1" t="inlineStr">
        <is>
          <t>vistas</t>
        </is>
      </c>
      <c r="W1" s="1" t="inlineStr">
        <is>
          <t>suscriptores</t>
        </is>
      </c>
      <c r="X1" s="1" t="inlineStr">
        <is>
          <t>subs_por_1000</t>
        </is>
      </c>
    </row>
    <row r="2" ht="58" customHeight="1">
      <c r="A2" s="2" t="inlineStr">
        <is>
          <t>OBRA-001</t>
        </is>
      </c>
      <c r="B2" s="3" t="inlineStr">
        <is>
          <t>Sleep Music · Ocean Waves · 432 Hz · Bottomless Night · 3 Hours</t>
        </is>
      </c>
      <c r="C2" s="2" t="inlineStr">
        <is>
          <t>Música para dormir · Olas del mar · 432 Hz · Noche sin fondo · 3 horas</t>
        </is>
      </c>
      <c r="D2" s="2" t="inlineStr">
        <is>
          <t>Dormir</t>
        </is>
      </c>
      <c r="E2" s="2" t="inlineStr">
        <is>
          <t>mar</t>
        </is>
      </c>
      <c r="F2" s="3" t="inlineStr">
        <is>
          <t>Bottomless Night · 3 Hours
To accompany sleep.
Ambience: ocean waves.
Composed around a root of 216 Hz, the low octave of 432 Hz, in just intonation, shin mode.
Breathing cycle: from 4.5 down to 3.5 breaths per minute, 40 % inhale / 60 % exhale.
Original composition, synthesized from scratch, ambience included. No third-party samples.
Chapters:
00:00 [fill in after editing]</t>
        </is>
      </c>
      <c r="G2" s="2" t="inlineStr">
        <is>
          <t>Noche sin fondo · 3 horas
Para acompañar el sueño.
Ambiente: olas del mar.
Compuesta con raíz en 216 Hz, la octava grave de 432 Hz, en entonación justa, modo shin.
Ciclo respiratorio: de 4.5 a 3.5 respiraciones por minuto, inhalar 40 % / exhalar 60 %.
Composición original, sintetizada desde cero: el ambiente también. Ninguna muestra procede de terceros.
Capítulos:
00:00 [completar tras el montaje]</t>
        </is>
      </c>
      <c r="H2" s="2" t="inlineStr">
        <is>
          <t>3 HOURS</t>
        </is>
      </c>
      <c r="I2" s="2" t="inlineStr">
        <is>
          <t>#SleepMusic #Meditation #432Hz</t>
        </is>
      </c>
      <c r="J2" s="3" t="inlineStr">
        <is>
          <t>432 hz, música 432 hz, música para dormir, sleep music, dormir, shin, música relajante, meditación, relajación, entonación justa, composición original, meditation music, relaxing music, singing bowls, just intonation</t>
        </is>
      </c>
      <c r="K2" s="4" t="inlineStr"/>
      <c r="L2" s="4" t="inlineStr"/>
      <c r="M2" s="2" t="n">
        <v>432</v>
      </c>
      <c r="N2" s="2" t="inlineStr">
        <is>
          <t>shin</t>
        </is>
      </c>
      <c r="O2" s="2" t="inlineStr">
        <is>
          <t>grave</t>
        </is>
      </c>
      <c r="P2" s="2" t="n">
        <v>505716</v>
      </c>
      <c r="Q2" s="2" t="n">
        <v>180</v>
      </c>
      <c r="R2" s="3" t="inlineStr">
        <is>
          <t>python3 03-composicion/compositor.py --minutos 180 --raiz 432 --modo shin --semilla 505716 --caracter sin-cuenco --registro grave</t>
        </is>
      </c>
      <c r="S2" s="2" t="inlineStr">
        <is>
          <t>python3 03-composicion/ambiente.py audio/OBRA-001_432_shin.wav audio/OBRA-001_final.wav --fondo mar</t>
        </is>
      </c>
      <c r="T2" s="4" t="inlineStr">
        <is>
          <t>pendiente</t>
        </is>
      </c>
      <c r="U2" s="4" t="inlineStr"/>
      <c r="V2" s="4" t="inlineStr"/>
      <c r="W2" s="4" t="inlineStr"/>
      <c r="X2" s="5">
        <f>IFERROR(W2/V2*1000,"")</f>
        <v/>
      </c>
    </row>
    <row r="3" ht="58" customHeight="1">
      <c r="A3" s="2" t="inlineStr">
        <is>
          <t>OBRA-002</t>
        </is>
      </c>
      <c r="B3" s="3" t="inlineStr">
        <is>
          <t>Sleep Music · Ocean Waves · 528 Hz · Low Tide · 2 Hours</t>
        </is>
      </c>
      <c r="C3" s="2" t="inlineStr">
        <is>
          <t>Música para dormir · Olas del mar · 528 Hz · Marea baja · 2 horas</t>
        </is>
      </c>
      <c r="D3" s="2" t="inlineStr">
        <is>
          <t>Dormir</t>
        </is>
      </c>
      <c r="E3" s="2" t="inlineStr">
        <is>
          <t>mar</t>
        </is>
      </c>
      <c r="F3" s="3" t="inlineStr">
        <is>
          <t>Low Tide · 2 Hours
To accompany sleep.
Ambience: ocean waves.
Composed around a root of 264 Hz, the low octave of 528 Hz, in just intonation, kumoi mode.
Breathing cycle: from 4.5 down to 3.5 breaths per minute, 40 % inhale / 60 % exhale.
Original composition, synthesized from scratch, ambience included. No third-party samples.
Chapters:
00:00 [fill in after editing]</t>
        </is>
      </c>
      <c r="G3" s="2" t="inlineStr">
        <is>
          <t>Marea baja · 2 horas
Para acompañar el sueño.
Ambiente: olas del mar.
Compuesta con raíz en 264 Hz, la octava grave de 528 Hz, en entonación justa, modo kumoi.
Ciclo respiratorio: de 4.5 a 3.5 respiraciones por minuto, inhalar 40 % / exhalar 60 %.
Composición original, sintetizada desde cero: el ambiente también. Ninguna muestra procede de terceros.
Capítulos:
00:00 [completar tras el montaje]</t>
        </is>
      </c>
      <c r="H3" s="2" t="inlineStr">
        <is>
          <t>2 HOURS</t>
        </is>
      </c>
      <c r="I3" s="2" t="inlineStr">
        <is>
          <t>#SleepMusic #Meditation #528Hz</t>
        </is>
      </c>
      <c r="J3" s="3" t="inlineStr">
        <is>
          <t>528 hz, música 528 hz, música para dormir, sleep music, dormir, kumoi, música relajante, meditación, relajación, entonación justa, composición original, meditation music, relaxing music, singing bowls, just intonation</t>
        </is>
      </c>
      <c r="K3" s="4" t="inlineStr"/>
      <c r="L3" s="4" t="inlineStr"/>
      <c r="M3" s="2" t="n">
        <v>528</v>
      </c>
      <c r="N3" s="2" t="inlineStr">
        <is>
          <t>kumoi</t>
        </is>
      </c>
      <c r="O3" s="2" t="inlineStr">
        <is>
          <t>grave</t>
        </is>
      </c>
      <c r="P3" s="2" t="n">
        <v>443547</v>
      </c>
      <c r="Q3" s="2" t="n">
        <v>120</v>
      </c>
      <c r="R3" s="3" t="inlineStr">
        <is>
          <t>python3 03-composicion/compositor.py --minutos 120 --raiz 528 --modo kumoi --semilla 443547 --caracter sin-cuenco --registro grave</t>
        </is>
      </c>
      <c r="S3" s="2" t="inlineStr">
        <is>
          <t>python3 03-composicion/ambiente.py audio/OBRA-002_528_kumoi.wav audio/OBRA-002_final.wav --fondo mar</t>
        </is>
      </c>
      <c r="T3" s="4" t="inlineStr">
        <is>
          <t>pendiente</t>
        </is>
      </c>
      <c r="U3" s="4" t="inlineStr"/>
      <c r="V3" s="4" t="inlineStr"/>
      <c r="W3" s="4" t="inlineStr"/>
      <c r="X3" s="5">
        <f>IFERROR(W3/V3*1000,"")</f>
        <v/>
      </c>
    </row>
    <row r="4" ht="58" customHeight="1">
      <c r="A4" s="2" t="inlineStr">
        <is>
          <t>OBRA-003</t>
        </is>
      </c>
      <c r="B4" s="3" t="inlineStr">
        <is>
          <t>Sleep Music · Ocean Waves · 396 Hz · Dark Room · 2 Hours</t>
        </is>
      </c>
      <c r="C4" s="2" t="inlineStr">
        <is>
          <t>Música para dormir · Olas del mar · 396 Hz · Cuarto oscuro · 2 horas</t>
        </is>
      </c>
      <c r="D4" s="2" t="inlineStr">
        <is>
          <t>Dormir</t>
        </is>
      </c>
      <c r="E4" s="2" t="inlineStr">
        <is>
          <t>mar</t>
        </is>
      </c>
      <c r="F4" s="3" t="inlineStr">
        <is>
          <t>Dark Room · 2 Hours
To accompany sleep.
Ambience: ocean waves.
Composed around a root of 198 Hz, the low octave of 396 Hz, in just intonation, kumoi mode.
Breathing cycle: from 4.5 down to 3.5 breaths per minute, 40 % inhale / 60 % exhale.
Original composition, synthesized from scratch, ambience included. No third-party samples.
Chapters:
00:00 [fill in after editing]</t>
        </is>
      </c>
      <c r="G4" s="2" t="inlineStr">
        <is>
          <t>Cuarto oscuro · 2 horas
Para acompañar el sueño.
Ambiente: olas del mar.
Compuesta con raíz en 198 Hz, la octava grave de 396 Hz, en entonación justa, modo kumoi.
Ciclo respiratorio: de 4.5 a 3.5 respiraciones por minuto, inhalar 40 % / exhalar 60 %.
Composición original, sintetizada desde cero: el ambiente también. Ninguna muestra procede de terceros.
Capítulos:
00:00 [completar tras el montaje]</t>
        </is>
      </c>
      <c r="H4" s="2" t="inlineStr">
        <is>
          <t>2 HOURS</t>
        </is>
      </c>
      <c r="I4" s="2" t="inlineStr">
        <is>
          <t>#SleepMusic #Meditation #396Hz</t>
        </is>
      </c>
      <c r="J4" s="3" t="inlineStr">
        <is>
          <t>396 hz, música 396 hz, música para dormir, sleep music, dormir, kumoi, música relajante, meditación, relajación, entonación justa, composición original, meditation music, relaxing music, singing bowls, just intonation</t>
        </is>
      </c>
      <c r="K4" s="4" t="inlineStr"/>
      <c r="L4" s="4" t="inlineStr"/>
      <c r="M4" s="2" t="n">
        <v>396</v>
      </c>
      <c r="N4" s="2" t="inlineStr">
        <is>
          <t>kumoi</t>
        </is>
      </c>
      <c r="O4" s="2" t="inlineStr">
        <is>
          <t>grave</t>
        </is>
      </c>
      <c r="P4" s="2" t="n">
        <v>692584</v>
      </c>
      <c r="Q4" s="2" t="n">
        <v>120</v>
      </c>
      <c r="R4" s="3" t="inlineStr">
        <is>
          <t>python3 03-composicion/compositor.py --minutos 120 --raiz 396 --modo kumoi --semilla 692584 --caracter sin-cuenco --registro grave</t>
        </is>
      </c>
      <c r="S4" s="2" t="inlineStr">
        <is>
          <t>python3 03-composicion/ambiente.py audio/OBRA-003_396_kumoi.wav audio/OBRA-003_final.wav --fondo mar</t>
        </is>
      </c>
      <c r="T4" s="4" t="inlineStr">
        <is>
          <t>pendiente</t>
        </is>
      </c>
      <c r="U4" s="4" t="inlineStr"/>
      <c r="V4" s="4" t="inlineStr"/>
      <c r="W4" s="4" t="inlineStr"/>
      <c r="X4" s="5">
        <f>IFERROR(W4/V4*1000,"")</f>
        <v/>
      </c>
    </row>
    <row r="5" ht="58" customHeight="1">
      <c r="A5" s="2" t="inlineStr">
        <is>
          <t>OBRA-004</t>
        </is>
      </c>
      <c r="B5" s="3" t="inlineStr">
        <is>
          <t>Sleep Music · Ocean Waves · 528 Hz · No One Awake · 3 Hours</t>
        </is>
      </c>
      <c r="C5" s="2" t="inlineStr">
        <is>
          <t>Música para dormir · Olas del mar · 528 Hz · Nadie despierto · 3 horas</t>
        </is>
      </c>
      <c r="D5" s="2" t="inlineStr">
        <is>
          <t>Dormir</t>
        </is>
      </c>
      <c r="E5" s="2" t="inlineStr">
        <is>
          <t>mar</t>
        </is>
      </c>
      <c r="F5" s="3" t="inlineStr">
        <is>
          <t>No One Awake · 3 Hours
To accompany sleep.
Ambience: ocean waves.
Composed around a root of 264 Hz, the low octave of 528 Hz, in just intonation, shin mode.
Breathing cycle: from 4.5 down to 3.5 breaths per minute, 40 % inhale / 60 % exhale.
Original composition, synthesized from scratch, ambience included. No third-party samples.
Chapters:
00:00 [fill in after editing]</t>
        </is>
      </c>
      <c r="G5" s="2" t="inlineStr">
        <is>
          <t>Nadie despierto · 3 horas
Para acompañar el sueño.
Ambiente: olas del mar.
Compuesta con raíz en 264 Hz, la octava grave de 528 Hz, en entonación justa, modo shin.
Ciclo respiratorio: de 4.5 a 3.5 respiraciones por minuto, inhalar 40 % / exhalar 60 %.
Composición original, sintetizada desde cero: el ambiente también. Ninguna muestra procede de terceros.
Capítulos:
00:00 [completar tras el montaje]</t>
        </is>
      </c>
      <c r="H5" s="2" t="inlineStr">
        <is>
          <t>3 HOURS</t>
        </is>
      </c>
      <c r="I5" s="2" t="inlineStr">
        <is>
          <t>#SleepMusic #Meditation #528Hz</t>
        </is>
      </c>
      <c r="J5" s="3" t="inlineStr">
        <is>
          <t>528 hz, música 528 hz, música para dormir, sleep music, dormir, shin, música relajante, meditación, relajación, entonación justa, composición original, meditation music, relaxing music, singing bowls, just intonation</t>
        </is>
      </c>
      <c r="K5" s="4" t="inlineStr"/>
      <c r="L5" s="4" t="inlineStr"/>
      <c r="M5" s="2" t="n">
        <v>528</v>
      </c>
      <c r="N5" s="2" t="inlineStr">
        <is>
          <t>shin</t>
        </is>
      </c>
      <c r="O5" s="2" t="inlineStr">
        <is>
          <t>grave</t>
        </is>
      </c>
      <c r="P5" s="2" t="n">
        <v>751043</v>
      </c>
      <c r="Q5" s="2" t="n">
        <v>180</v>
      </c>
      <c r="R5" s="3" t="inlineStr">
        <is>
          <t>python3 03-composicion/compositor.py --minutos 180 --raiz 528 --modo shin --semilla 751043 --caracter sin-cuenco --registro grave</t>
        </is>
      </c>
      <c r="S5" s="2" t="inlineStr">
        <is>
          <t>python3 03-composicion/ambiente.py audio/OBRA-004_528_shin.wav audio/OBRA-004_final.wav --fondo mar</t>
        </is>
      </c>
      <c r="T5" s="4" t="inlineStr">
        <is>
          <t>pendiente</t>
        </is>
      </c>
      <c r="U5" s="4" t="inlineStr"/>
      <c r="V5" s="4" t="inlineStr"/>
      <c r="W5" s="4" t="inlineStr"/>
      <c r="X5" s="5">
        <f>IFERROR(W5/V5*1000,"")</f>
        <v/>
      </c>
    </row>
    <row r="6" ht="58" customHeight="1">
      <c r="A6" s="2" t="inlineStr">
        <is>
          <t>OBRA-005</t>
        </is>
      </c>
      <c r="B6" s="3" t="inlineStr">
        <is>
          <t>Sleep Music · Ocean Waves · 432 Hz · Winter Breath · 2 Hours</t>
        </is>
      </c>
      <c r="C6" s="2" t="inlineStr">
        <is>
          <t>Música para dormir · Olas del mar · 432 Hz · Respiración de invierno · 2 horas</t>
        </is>
      </c>
      <c r="D6" s="2" t="inlineStr">
        <is>
          <t>Dormir</t>
        </is>
      </c>
      <c r="E6" s="2" t="inlineStr">
        <is>
          <t>mar</t>
        </is>
      </c>
      <c r="F6" s="3" t="inlineStr">
        <is>
          <t>Winter Breath · 2 Hours
To accompany sleep.
Ambience: ocean waves.
Composed around a root of 216 Hz, the low octave of 432 Hz, in just intonation, kumoi mode.
Breathing cycle: from 4.5 down to 3.5 breaths per minute, 40 % inhale / 60 % exhale.
Original composition, synthesized from scratch, ambience included. No third-party samples.
Chapters:
00:00 [fill in after editing]</t>
        </is>
      </c>
      <c r="G6" s="2" t="inlineStr">
        <is>
          <t>Respiración de invierno · 2 horas
Para acompañar el sueño.
Ambiente: olas del mar.
Compuesta con raíz en 216 Hz, la octava grave de 432 Hz, en entonación justa, modo kumoi.
Ciclo respiratorio: de 4.5 a 3.5 respiraciones por minuto, inhalar 40 % / exhalar 60 %.
Composición original, sintetizada desde cero: el ambiente también. Ninguna muestra procede de terceros.
Capítulos:
00:00 [completar tras el montaje]</t>
        </is>
      </c>
      <c r="H6" s="2" t="inlineStr">
        <is>
          <t>2 HOURS</t>
        </is>
      </c>
      <c r="I6" s="2" t="inlineStr">
        <is>
          <t>#SleepMusic #Meditation #432Hz</t>
        </is>
      </c>
      <c r="J6" s="3" t="inlineStr">
        <is>
          <t>432 hz, música 432 hz, música para dormir, sleep music, dormir, kumoi, música relajante, meditación, relajación, entonación justa, composición original, meditation music, relaxing music, singing bowls, just intonation</t>
        </is>
      </c>
      <c r="K6" s="4" t="inlineStr"/>
      <c r="L6" s="4" t="inlineStr"/>
      <c r="M6" s="2" t="n">
        <v>432</v>
      </c>
      <c r="N6" s="2" t="inlineStr">
        <is>
          <t>kumoi</t>
        </is>
      </c>
      <c r="O6" s="2" t="inlineStr">
        <is>
          <t>grave</t>
        </is>
      </c>
      <c r="P6" s="2" t="n">
        <v>531725</v>
      </c>
      <c r="Q6" s="2" t="n">
        <v>120</v>
      </c>
      <c r="R6" s="3" t="inlineStr">
        <is>
          <t>python3 03-composicion/compositor.py --minutos 120 --raiz 432 --modo kumoi --semilla 531725 --caracter sin-cuenco --registro grave</t>
        </is>
      </c>
      <c r="S6" s="2" t="inlineStr">
        <is>
          <t>python3 03-composicion/ambiente.py audio/OBRA-005_432_kumoi.wav audio/OBRA-005_final.wav --fondo mar</t>
        </is>
      </c>
      <c r="T6" s="4" t="inlineStr">
        <is>
          <t>pendiente</t>
        </is>
      </c>
      <c r="U6" s="4" t="inlineStr"/>
      <c r="V6" s="4" t="inlineStr"/>
      <c r="W6" s="4" t="inlineStr"/>
      <c r="X6" s="5">
        <f>IFERROR(W6/V6*1000,"")</f>
        <v/>
      </c>
    </row>
    <row r="7" ht="58" customHeight="1">
      <c r="A7" s="2" t="inlineStr">
        <is>
          <t>OBRA-006</t>
        </is>
      </c>
      <c r="B7" s="3" t="inlineStr">
        <is>
          <t>Sleep Music · Ocean Waves · 417 Hz · Before Dawn · 90 Minutes</t>
        </is>
      </c>
      <c r="C7" s="2" t="inlineStr">
        <is>
          <t>Música para dormir · Olas del mar · 417 Hz · Antes del alba · 90 minutos</t>
        </is>
      </c>
      <c r="D7" s="2" t="inlineStr">
        <is>
          <t>Dormir</t>
        </is>
      </c>
      <c r="E7" s="2" t="inlineStr">
        <is>
          <t>mar</t>
        </is>
      </c>
      <c r="F7" s="3" t="inlineStr">
        <is>
          <t>Before Dawn · 90 Minutes
To accompany sleep.
Ambience: ocean waves.
Composed around a root of 208.5 Hz, the low octave of 417 Hz, in just intonation, kumoi mode.
Breathing cycle: from 4.5 down to 3.5 breaths per minute, 40 % inhale / 60 % exhale.
Original composition, synthesized from scratch, ambience included. No third-party samples.
Chapters:
00:00 [fill in after editing]</t>
        </is>
      </c>
      <c r="G7" s="2" t="inlineStr">
        <is>
          <t>Antes del alba · 90 minutos
Para acompañar el sueño.
Ambiente: olas del mar.
Compuesta con raíz en 208.5 Hz, la octava grave de 417 Hz, en entonación justa, modo kumoi.
Ciclo respiratorio: de 4.5 a 3.5 respiraciones por minuto, inhalar 40 % / exhalar 60 %.
Composición original, sintetizada desde cero: el ambiente también. Ninguna muestra procede de terceros.
Capítulos:
00:00 [completar tras el montaje]</t>
        </is>
      </c>
      <c r="H7" s="2" t="inlineStr">
        <is>
          <t>90 MIN</t>
        </is>
      </c>
      <c r="I7" s="2" t="inlineStr">
        <is>
          <t>#SleepMusic #Meditation #417Hz</t>
        </is>
      </c>
      <c r="J7" s="3" t="inlineStr">
        <is>
          <t>417 hz, música 417 hz, música para dormir, sleep music, dormir, kumoi, música relajante, meditación, relajación, entonación justa, composición original, meditation music, relaxing music, singing bowls, just intonation</t>
        </is>
      </c>
      <c r="K7" s="4" t="inlineStr"/>
      <c r="L7" s="4" t="inlineStr"/>
      <c r="M7" s="2" t="n">
        <v>417</v>
      </c>
      <c r="N7" s="2" t="inlineStr">
        <is>
          <t>kumoi</t>
        </is>
      </c>
      <c r="O7" s="2" t="inlineStr">
        <is>
          <t>grave</t>
        </is>
      </c>
      <c r="P7" s="2" t="n">
        <v>813147</v>
      </c>
      <c r="Q7" s="2" t="n">
        <v>90</v>
      </c>
      <c r="R7" s="3" t="inlineStr">
        <is>
          <t>python3 03-composicion/compositor.py --minutos 90 --raiz 417 --modo kumoi --semilla 813147 --caracter sin-cuenco --registro grave</t>
        </is>
      </c>
      <c r="S7" s="2" t="inlineStr">
        <is>
          <t>python3 03-composicion/ambiente.py audio/OBRA-006_417_kumoi.wav audio/OBRA-006_final.wav --fondo mar</t>
        </is>
      </c>
      <c r="T7" s="4" t="inlineStr">
        <is>
          <t>pendiente</t>
        </is>
      </c>
      <c r="U7" s="4" t="inlineStr"/>
      <c r="V7" s="4" t="inlineStr"/>
      <c r="W7" s="4" t="inlineStr"/>
      <c r="X7" s="5">
        <f>IFERROR(W7/V7*1000,"")</f>
        <v/>
      </c>
    </row>
    <row r="8" ht="58" customHeight="1">
      <c r="A8" s="2" t="inlineStr">
        <is>
          <t>OBRA-007</t>
        </is>
      </c>
      <c r="B8" s="3" t="inlineStr">
        <is>
          <t>Sleep Music · Ocean Waves · 396 Hz · Slow Weight · 2 Hours</t>
        </is>
      </c>
      <c r="C8" s="2" t="inlineStr">
        <is>
          <t>Música para dormir · Olas del mar · 396 Hz · Peso lento · 2 horas</t>
        </is>
      </c>
      <c r="D8" s="2" t="inlineStr">
        <is>
          <t>Dormir</t>
        </is>
      </c>
      <c r="E8" s="2" t="inlineStr">
        <is>
          <t>mar</t>
        </is>
      </c>
      <c r="F8" s="3" t="inlineStr">
        <is>
          <t>Slow Weight · 2 Hours
To accompany sleep.
Ambience: ocean waves.
Composed around a root of 198 Hz, the low octave of 396 Hz, in just intonation, shin mode.
Breathing cycle: from 4.5 down to 3.5 breaths per minute, 40 % inhale / 60 % exhale.
Original composition, synthesized from scratch, ambience included. No third-party samples.
Chapters:
00:00 [fill in after editing]</t>
        </is>
      </c>
      <c r="G8" s="2" t="inlineStr">
        <is>
          <t>Peso lento · 2 horas
Para acompañar el sueño.
Ambiente: olas del mar.
Compuesta con raíz en 198 Hz, la octava grave de 396 Hz, en entonación justa, modo shin.
Ciclo respiratorio: de 4.5 a 3.5 respiraciones por minuto, inhalar 40 % / exhalar 60 %.
Composición original, sintetizada desde cero: el ambiente también. Ninguna muestra procede de terceros.
Capítulos:
00:00 [completar tras el montaje]</t>
        </is>
      </c>
      <c r="H8" s="2" t="inlineStr">
        <is>
          <t>2 HOURS</t>
        </is>
      </c>
      <c r="I8" s="2" t="inlineStr">
        <is>
          <t>#SleepMusic #Meditation #396Hz</t>
        </is>
      </c>
      <c r="J8" s="3" t="inlineStr">
        <is>
          <t>396 hz, música 396 hz, música para dormir, sleep music, dormir, shin, música relajante, meditación, relajación, entonación justa, composición original, meditation music, relaxing music, singing bowls, just intonation</t>
        </is>
      </c>
      <c r="K8" s="4" t="inlineStr"/>
      <c r="L8" s="4" t="inlineStr"/>
      <c r="M8" s="2" t="n">
        <v>396</v>
      </c>
      <c r="N8" s="2" t="inlineStr">
        <is>
          <t>shin</t>
        </is>
      </c>
      <c r="O8" s="2" t="inlineStr">
        <is>
          <t>grave</t>
        </is>
      </c>
      <c r="P8" s="2" t="n">
        <v>885916</v>
      </c>
      <c r="Q8" s="2" t="n">
        <v>120</v>
      </c>
      <c r="R8" s="3" t="inlineStr">
        <is>
          <t>python3 03-composicion/compositor.py --minutos 120 --raiz 396 --modo shin --semilla 885916 --caracter sin-cuenco --registro grave</t>
        </is>
      </c>
      <c r="S8" s="2" t="inlineStr">
        <is>
          <t>python3 03-composicion/ambiente.py audio/OBRA-007_396_shin.wav audio/OBRA-007_final.wav --fondo mar</t>
        </is>
      </c>
      <c r="T8" s="4" t="inlineStr">
        <is>
          <t>pendiente</t>
        </is>
      </c>
      <c r="U8" s="4" t="inlineStr"/>
      <c r="V8" s="4" t="inlineStr"/>
      <c r="W8" s="4" t="inlineStr"/>
      <c r="X8" s="5">
        <f>IFERROR(W8/V8*1000,"")</f>
        <v/>
      </c>
    </row>
    <row r="9" ht="58" customHeight="1">
      <c r="A9" s="2" t="inlineStr">
        <is>
          <t>OBRA-008</t>
        </is>
      </c>
      <c r="B9" s="3" t="inlineStr">
        <is>
          <t>Sleep Music · Ocean Waves · 432 Hz · The Sleeping House · 3 Hours</t>
        </is>
      </c>
      <c r="C9" s="2" t="inlineStr">
        <is>
          <t>Música para dormir · Olas del mar · 432 Hz · La casa dormida · 3 horas</t>
        </is>
      </c>
      <c r="D9" s="2" t="inlineStr">
        <is>
          <t>Dormir</t>
        </is>
      </c>
      <c r="E9" s="2" t="inlineStr">
        <is>
          <t>mar</t>
        </is>
      </c>
      <c r="F9" s="3" t="inlineStr">
        <is>
          <t>The Sleeping House · 3 Hours
To accompany sleep.
Ambience: ocean waves.
Composed around a root of 216 Hz, the low octave of 432 Hz, in just intonation, kumoi mode.
Breathing cycle: from 4.5 down to 3.5 breaths per minute, 40 % inhale / 60 % exhale.
Original composition, synthesized from scratch, ambience included. No third-party samples.
Chapters:
00:00 [fill in after editing]</t>
        </is>
      </c>
      <c r="G9" s="2" t="inlineStr">
        <is>
          <t>La casa dormida · 3 horas
Para acompañar el sueño.
Ambiente: olas del mar.
Compuesta con raíz en 216 Hz, la octava grave de 432 Hz, en entonación justa, modo kumoi.
Ciclo respiratorio: de 4.5 a 3.5 respiraciones por minuto, inhalar 40 % / exhalar 60 %.
Composición original, sintetizada desde cero: el ambiente también. Ninguna muestra procede de terceros.
Capítulos:
00:00 [completar tras el montaje]</t>
        </is>
      </c>
      <c r="H9" s="2" t="inlineStr">
        <is>
          <t>3 HOURS</t>
        </is>
      </c>
      <c r="I9" s="2" t="inlineStr">
        <is>
          <t>#SleepMusic #Meditation #432Hz</t>
        </is>
      </c>
      <c r="J9" s="3" t="inlineStr">
        <is>
          <t>432 hz, música 432 hz, música para dormir, sleep music, dormir, kumoi, música relajante, meditación, relajación, entonación justa, composición original, meditation music, relaxing music, singing bowls, just intonation</t>
        </is>
      </c>
      <c r="K9" s="4" t="inlineStr"/>
      <c r="L9" s="4" t="inlineStr"/>
      <c r="M9" s="2" t="n">
        <v>432</v>
      </c>
      <c r="N9" s="2" t="inlineStr">
        <is>
          <t>kumoi</t>
        </is>
      </c>
      <c r="O9" s="2" t="inlineStr">
        <is>
          <t>grave</t>
        </is>
      </c>
      <c r="P9" s="2" t="n">
        <v>295910</v>
      </c>
      <c r="Q9" s="2" t="n">
        <v>180</v>
      </c>
      <c r="R9" s="3" t="inlineStr">
        <is>
          <t>python3 03-composicion/compositor.py --minutos 180 --raiz 432 --modo kumoi --semilla 295910 --caracter sin-cuenco --registro grave</t>
        </is>
      </c>
      <c r="S9" s="2" t="inlineStr">
        <is>
          <t>python3 03-composicion/ambiente.py audio/OBRA-008_432_kumoi.wav audio/OBRA-008_final.wav --fondo mar</t>
        </is>
      </c>
      <c r="T9" s="4" t="inlineStr">
        <is>
          <t>pendiente</t>
        </is>
      </c>
      <c r="U9" s="4" t="inlineStr"/>
      <c r="V9" s="4" t="inlineStr"/>
      <c r="W9" s="4" t="inlineStr"/>
      <c r="X9" s="5">
        <f>IFERROR(W9/V9*1000,"")</f>
        <v/>
      </c>
    </row>
    <row r="10" ht="58" customHeight="1">
      <c r="A10" s="2" t="inlineStr">
        <is>
          <t>OBRA-009</t>
        </is>
      </c>
      <c r="B10" s="3" t="inlineStr">
        <is>
          <t>Music for Anxiety · Ocean and Birds · 396 Hz · Just Exhale · 25 Minutes</t>
        </is>
      </c>
      <c r="C10" s="2" t="inlineStr">
        <is>
          <t>Música para momentos de ansiedad · Mar y pájaros · 396 Hz · Solo exhalar · 25 minutos</t>
        </is>
      </c>
      <c r="D10" s="2" t="inlineStr">
        <is>
          <t>Ansiedad</t>
        </is>
      </c>
      <c r="E10" s="2" t="inlineStr">
        <is>
          <t>mar-aves</t>
        </is>
      </c>
      <c r="F10" s="3" t="inlineStr">
        <is>
          <t>Just Exhale · 25 Minutes
To accompany a pause when your mind won't stop.
Ambience: ocean and birds.
Composed around a root of 396 Hz, in just intonation, kumoi mode.
Breathing cycle: from 6.0 down to 4.5 breaths per minute, 40 % inhale / 60 % exhale.
Original composition, synthesized from scratch, ambience included. No third-party samples.
Chapters:
00:00 [fill in after editing]</t>
        </is>
      </c>
      <c r="G10" s="2" t="inlineStr">
        <is>
          <t>Solo exhalar · 25 minutos
Para acompañar un momento de pausa cuando la cabeza no para.
Ambiente: mar y pájaros.
Compuesta con raíz en 396 Hz, en entonación justa, modo kumoi.
Ciclo respiratorio: de 6.0 a 4.5 respiraciones por minuto, inhalar 40 % / exhalar 60 %.
Composición original, sintetizada desde cero: el ambiente también. Ninguna muestra procede de terceros.
Capítulos:
00:00 [completar tras el montaje]</t>
        </is>
      </c>
      <c r="H10" s="2" t="inlineStr">
        <is>
          <t>25 MIN</t>
        </is>
      </c>
      <c r="I10" s="2" t="inlineStr">
        <is>
          <t>#RelaxingMusic #Meditation #396Hz</t>
        </is>
      </c>
      <c r="J10" s="3" t="inlineStr">
        <is>
          <t>396 hz, música 396 hz, música para momentos de ansiedad, music for anxiety, ansiedad, kumoi, música relajante, meditación, relajación, entonación justa, composición original, meditation music, relaxing music, sleep music, singing bowls, just intonation</t>
        </is>
      </c>
      <c r="K10" s="4" t="inlineStr"/>
      <c r="L10" s="4" t="inlineStr"/>
      <c r="M10" s="2" t="n">
        <v>396</v>
      </c>
      <c r="N10" s="2" t="inlineStr">
        <is>
          <t>kumoi</t>
        </is>
      </c>
      <c r="O10" s="2" t="inlineStr">
        <is>
          <t>medio</t>
        </is>
      </c>
      <c r="P10" s="2" t="n">
        <v>555819</v>
      </c>
      <c r="Q10" s="2" t="n">
        <v>25</v>
      </c>
      <c r="R10" s="3" t="inlineStr">
        <is>
          <t>python3 03-composicion/compositor.py --minutos 25 --raiz 396 --modo kumoi --semilla 555819 --caracter sin-cuenco</t>
        </is>
      </c>
      <c r="S10" s="2" t="inlineStr">
        <is>
          <t>python3 03-composicion/capas.py aves 1540 audio/OBRA-009_capa.wav --semilla 555819 &amp;&amp; python3 03-composicion/ambiente.py audio/OBRA-009_396_kumoi.wav audio/OBRA-009_final.wav --fondo mar --nivel-capa -4 --capa audio/OBRA-009_capa.wav</t>
        </is>
      </c>
      <c r="T10" s="4" t="inlineStr">
        <is>
          <t>pendiente</t>
        </is>
      </c>
      <c r="U10" s="4" t="inlineStr"/>
      <c r="V10" s="4" t="inlineStr"/>
      <c r="W10" s="4" t="inlineStr"/>
      <c r="X10" s="5">
        <f>IFERROR(W10/V10*1000,"")</f>
        <v/>
      </c>
    </row>
    <row r="11" ht="58" customHeight="1">
      <c r="A11" s="2" t="inlineStr">
        <is>
          <t>OBRA-010</t>
        </is>
      </c>
      <c r="B11" s="3" t="inlineStr">
        <is>
          <t>Music for Anxiety · Zen Temple · 432 Hz · Slowing Down · 30 Minutes</t>
        </is>
      </c>
      <c r="C11" s="2" t="inlineStr">
        <is>
          <t>Música para momentos de ansiedad · Templo zen · 432 Hz · Bajar el ritmo · 30 minutos</t>
        </is>
      </c>
      <c r="D11" s="2" t="inlineStr">
        <is>
          <t>Ansiedad</t>
        </is>
      </c>
      <c r="E11" s="2" t="inlineStr">
        <is>
          <t>zen</t>
        </is>
      </c>
      <c r="F11" s="3" t="inlineStr">
        <is>
          <t>Slowing Down · 30 Minutes
To accompany a pause when your mind won't stop.
Ambience: zen temple.
Composed around a root of 432 Hz, in just intonation, hirajoshi mode.
Breathing cycle: from 6.0 down to 4.5 breaths per minute, 40 % inhale / 60 % exhale.
Original composition, synthesized from scratch, ambience included. No third-party samples.
Chapters:
00:00 [fill in after editing]</t>
        </is>
      </c>
      <c r="G11" s="2" t="inlineStr">
        <is>
          <t>Bajar el ritmo · 30 minutos
Para acompañar un momento de pausa cuando la cabeza no para.
Ambiente: templo zen.
Compuesta con raíz en 432 Hz, en entonación justa, modo hirajoshi.
Ciclo respiratorio: de 6.0 a 4.5 respiraciones por minuto, inhalar 40 % / exhalar 60 %.
Composición original, sintetizada desde cero: el ambiente también. Ninguna muestra procede de terceros.
Capítulos:
00:00 [completar tras el montaje]</t>
        </is>
      </c>
      <c r="H11" s="2" t="inlineStr">
        <is>
          <t>30 MIN</t>
        </is>
      </c>
      <c r="I11" s="2" t="inlineStr">
        <is>
          <t>#RelaxingMusic #Meditation #432Hz</t>
        </is>
      </c>
      <c r="J11" s="3" t="inlineStr">
        <is>
          <t>432 hz, música 432 hz, música para momentos de ansiedad, music for anxiety, ansiedad, hirajoshi, música relajante, meditación, relajación, entonación justa, composición original, meditation music, relaxing music, sleep music, singing bowls, just intonation</t>
        </is>
      </c>
      <c r="K11" s="4" t="inlineStr"/>
      <c r="L11" s="4" t="inlineStr"/>
      <c r="M11" s="2" t="n">
        <v>432</v>
      </c>
      <c r="N11" s="2" t="inlineStr">
        <is>
          <t>hirajoshi</t>
        </is>
      </c>
      <c r="O11" s="2" t="inlineStr">
        <is>
          <t>medio</t>
        </is>
      </c>
      <c r="P11" s="2" t="n">
        <v>739461</v>
      </c>
      <c r="Q11" s="2" t="n">
        <v>30</v>
      </c>
      <c r="R11" s="3" t="inlineStr">
        <is>
          <t>python3 03-composicion/compositor.py --minutos 30 --raiz 432 --modo hirajoshi --semilla 739461 --caracter sin-cuenco</t>
        </is>
      </c>
      <c r="S11" s="2" t="inlineStr">
        <is>
          <t>python3 03-composicion/capas.py zen 1840 audio/OBRA-010_capa.wav --semilla 739461 --densidad 1.4 &amp;&amp; python3 03-composicion/ambiente.py audio/OBRA-010_432_hirajoshi.wav audio/OBRA-010_final.wav --fondo mar --nivel-fondo -7 --nivel-capa 2 --capa audio/OBRA-010_capa.wav</t>
        </is>
      </c>
      <c r="T11" s="4" t="inlineStr">
        <is>
          <t>pendiente</t>
        </is>
      </c>
      <c r="U11" s="4" t="inlineStr"/>
      <c r="V11" s="4" t="inlineStr"/>
      <c r="W11" s="4" t="inlineStr"/>
      <c r="X11" s="5">
        <f>IFERROR(W11/V11*1000,"")</f>
        <v/>
      </c>
    </row>
    <row r="12" ht="58" customHeight="1">
      <c r="A12" s="2" t="inlineStr">
        <is>
          <t>OBRA-011</t>
        </is>
      </c>
      <c r="B12" s="3" t="inlineStr">
        <is>
          <t>Music for Anxiety · Ocean and Birds · 528 Hz · Four and Six · 20 Minutes</t>
        </is>
      </c>
      <c r="C12" s="2" t="inlineStr">
        <is>
          <t>Música para momentos de ansiedad · Mar y pájaros · 528 Hz · Cuatro y seis · 20 minutos</t>
        </is>
      </c>
      <c r="D12" s="2" t="inlineStr">
        <is>
          <t>Ansiedad</t>
        </is>
      </c>
      <c r="E12" s="2" t="inlineStr">
        <is>
          <t>mar-aves</t>
        </is>
      </c>
      <c r="F12" s="3" t="inlineStr">
        <is>
          <t>Four and Six · 20 Minutes
To accompany a pause when your mind won't stop.
Ambience: ocean and birds.
Composed around a root of 528 Hz, in just intonation, hirajoshi mode.
Breathing cycle: from 6.0 down to 4.5 breaths per minute, 40 % inhale / 60 % exhale.
Original composition, synthesized from scratch, ambience included. No third-party samples.
Chapters:
00:00 [fill in after editing]</t>
        </is>
      </c>
      <c r="G12" s="2" t="inlineStr">
        <is>
          <t>Cuatro y seis · 20 minutos
Para acompañar un momento de pausa cuando la cabeza no para.
Ambiente: mar y pájaros.
Compuesta con raíz en 528 Hz, en entonación justa, modo hirajoshi.
Ciclo respiratorio: de 6.0 a 4.5 respiraciones por minuto, inhalar 40 % / exhalar 60 %.
Composición original, sintetizada desde cero: el ambiente también. Ninguna muestra procede de terceros.
Capítulos:
00:00 [completar tras el montaje]</t>
        </is>
      </c>
      <c r="H12" s="2" t="inlineStr">
        <is>
          <t>20 MIN</t>
        </is>
      </c>
      <c r="I12" s="2" t="inlineStr">
        <is>
          <t>#RelaxingMusic #Meditation #528Hz</t>
        </is>
      </c>
      <c r="J12" s="3" t="inlineStr">
        <is>
          <t>528 hz, música 528 hz, música para momentos de ansiedad, music for anxiety, ansiedad, hirajoshi, música relajante, meditación, relajación, entonación justa, composición original, meditation music, relaxing music, sleep music, singing bowls, just intonation</t>
        </is>
      </c>
      <c r="K12" s="4" t="inlineStr"/>
      <c r="L12" s="4" t="inlineStr"/>
      <c r="M12" s="2" t="n">
        <v>528</v>
      </c>
      <c r="N12" s="2" t="inlineStr">
        <is>
          <t>hirajoshi</t>
        </is>
      </c>
      <c r="O12" s="2" t="inlineStr">
        <is>
          <t>medio</t>
        </is>
      </c>
      <c r="P12" s="2" t="n">
        <v>913368</v>
      </c>
      <c r="Q12" s="2" t="n">
        <v>20</v>
      </c>
      <c r="R12" s="3" t="inlineStr">
        <is>
          <t>python3 03-composicion/compositor.py --minutos 20 --raiz 528 --modo hirajoshi --semilla 913368 --caracter sin-cuenco</t>
        </is>
      </c>
      <c r="S12" s="2" t="inlineStr">
        <is>
          <t>python3 03-composicion/capas.py aves 1240 audio/OBRA-011_capa.wav --semilla 913368 &amp;&amp; python3 03-composicion/ambiente.py audio/OBRA-011_528_hirajoshi.wav audio/OBRA-011_final.wav --fondo mar --nivel-capa -4 --capa audio/OBRA-011_capa.wav</t>
        </is>
      </c>
      <c r="T12" s="4" t="inlineStr">
        <is>
          <t>pendiente</t>
        </is>
      </c>
      <c r="U12" s="4" t="inlineStr"/>
      <c r="V12" s="4" t="inlineStr"/>
      <c r="W12" s="4" t="inlineStr"/>
      <c r="X12" s="5">
        <f>IFERROR(W12/V12*1000,"")</f>
        <v/>
      </c>
    </row>
    <row r="13" ht="58" customHeight="1">
      <c r="A13" s="2" t="inlineStr">
        <is>
          <t>OBRA-012</t>
        </is>
      </c>
      <c r="B13" s="3" t="inlineStr">
        <is>
          <t>Music for Anxiety · Zen Temple · 528 Hz · A Brief Pause · 10 Minutes</t>
        </is>
      </c>
      <c r="C13" s="2" t="inlineStr">
        <is>
          <t>Música para momentos de ansiedad · Templo zen · 528 Hz · Pausa breve · 10 minutos</t>
        </is>
      </c>
      <c r="D13" s="2" t="inlineStr">
        <is>
          <t>Ansiedad</t>
        </is>
      </c>
      <c r="E13" s="2" t="inlineStr">
        <is>
          <t>zen</t>
        </is>
      </c>
      <c r="F13" s="3" t="inlineStr">
        <is>
          <t>A Brief Pause · 10 Minutes
To accompany a pause when your mind won't stop.
Ambience: zen temple.
Composed around a root of 528 Hz, in just intonation, shin mode.
Breathing cycle: from 6.0 down to 4.5 breaths per minute, 40 % inhale / 60 % exhale.
Original composition, synthesized from scratch, ambience included. No third-party samples.
Chapters:
00:00 [fill in after editing]</t>
        </is>
      </c>
      <c r="G13" s="2" t="inlineStr">
        <is>
          <t>Pausa breve · 10 minutos
Para acompañar un momento de pausa cuando la cabeza no para.
Ambiente: templo zen.
Compuesta con raíz en 528 Hz, en entonación justa, modo shin.
Ciclo respiratorio: de 6.0 a 4.5 respiraciones por minuto, inhalar 40 % / exhalar 60 %.
Composición original, sintetizada desde cero: el ambiente también. Ninguna muestra procede de terceros.
Capítulos:
00:00 [completar tras el montaje]</t>
        </is>
      </c>
      <c r="H13" s="2" t="inlineStr">
        <is>
          <t>10 MIN</t>
        </is>
      </c>
      <c r="I13" s="2" t="inlineStr">
        <is>
          <t>#RelaxingMusic #Meditation #528Hz</t>
        </is>
      </c>
      <c r="J13" s="3" t="inlineStr">
        <is>
          <t>528 hz, música 528 hz, música para momentos de ansiedad, music for anxiety, ansiedad, shin, música relajante, meditación, relajación, entonación justa, composición original, meditation music, relaxing music, sleep music, singing bowls, just intonation</t>
        </is>
      </c>
      <c r="K13" s="4" t="inlineStr"/>
      <c r="L13" s="4" t="inlineStr"/>
      <c r="M13" s="2" t="n">
        <v>528</v>
      </c>
      <c r="N13" s="2" t="inlineStr">
        <is>
          <t>shin</t>
        </is>
      </c>
      <c r="O13" s="2" t="inlineStr">
        <is>
          <t>medio</t>
        </is>
      </c>
      <c r="P13" s="2" t="n">
        <v>43734</v>
      </c>
      <c r="Q13" s="2" t="n">
        <v>10</v>
      </c>
      <c r="R13" s="3" t="inlineStr">
        <is>
          <t>python3 03-composicion/compositor.py --minutos 10 --raiz 528 --modo shin --semilla 43734 --caracter sin-cuenco</t>
        </is>
      </c>
      <c r="S13" s="2" t="inlineStr">
        <is>
          <t>python3 03-composicion/capas.py zen 640 audio/OBRA-012_capa.wav --semilla 43734 --densidad 1.4 &amp;&amp; python3 03-composicion/ambiente.py audio/OBRA-012_528_shin.wav audio/OBRA-012_final.wav --fondo mar --nivel-fondo -7 --nivel-capa 2 --capa audio/OBRA-012_capa.wav</t>
        </is>
      </c>
      <c r="T13" s="4" t="inlineStr">
        <is>
          <t>pendiente</t>
        </is>
      </c>
      <c r="U13" s="4" t="inlineStr"/>
      <c r="V13" s="4" t="inlineStr"/>
      <c r="W13" s="4" t="inlineStr"/>
      <c r="X13" s="5">
        <f>IFERROR(W13/V13*1000,"")</f>
        <v/>
      </c>
    </row>
    <row r="14" ht="58" customHeight="1">
      <c r="A14" s="2" t="inlineStr">
        <is>
          <t>OBRA-013</t>
        </is>
      </c>
      <c r="B14" s="3" t="inlineStr">
        <is>
          <t>Music for Anxiety · Ocean and Birds · 432 Hz · Count to Six · 20 Minutes</t>
        </is>
      </c>
      <c r="C14" s="2" t="inlineStr">
        <is>
          <t>Música para momentos de ansiedad · Mar y pájaros · 432 Hz · Contar hasta seis · 20 minutos</t>
        </is>
      </c>
      <c r="D14" s="2" t="inlineStr">
        <is>
          <t>Ansiedad</t>
        </is>
      </c>
      <c r="E14" s="2" t="inlineStr">
        <is>
          <t>mar-aves</t>
        </is>
      </c>
      <c r="F14" s="3" t="inlineStr">
        <is>
          <t>Count to Six · 20 Minutes
To accompany a pause when your mind won't stop.
Ambience: ocean and birds.
Composed around a root of 432 Hz, in just intonation, hirajoshi mode.
Breathing cycle: from 6.0 down to 4.5 breaths per minute, 40 % inhale / 60 % exhale.
Original composition, synthesized from scratch, ambience included. No third-party samples.
Chapters:
00:00 [fill in after editing]</t>
        </is>
      </c>
      <c r="G14" s="2" t="inlineStr">
        <is>
          <t>Contar hasta seis · 20 minutos
Para acompañar un momento de pausa cuando la cabeza no para.
Ambiente: mar y pájaros.
Compuesta con raíz en 432 Hz, en entonación justa, modo hirajoshi.
Ciclo respiratorio: de 6.0 a 4.5 respiraciones por minuto, inhalar 40 % / exhalar 60 %.
Composición original, sintetizada desde cero: el ambiente también. Ninguna muestra procede de terceros.
Capítulos:
00:00 [completar tras el montaje]</t>
        </is>
      </c>
      <c r="H14" s="2" t="inlineStr">
        <is>
          <t>20 MIN</t>
        </is>
      </c>
      <c r="I14" s="2" t="inlineStr">
        <is>
          <t>#RelaxingMusic #Meditation #432Hz</t>
        </is>
      </c>
      <c r="J14" s="3" t="inlineStr">
        <is>
          <t>432 hz, música 432 hz, música para momentos de ansiedad, music for anxiety, ansiedad, hirajoshi, música relajante, meditación, relajación, entonación justa, composición original, meditation music, relaxing music, sleep music, singing bowls, just intonation</t>
        </is>
      </c>
      <c r="K14" s="4" t="inlineStr"/>
      <c r="L14" s="4" t="inlineStr"/>
      <c r="M14" s="2" t="n">
        <v>432</v>
      </c>
      <c r="N14" s="2" t="inlineStr">
        <is>
          <t>hirajoshi</t>
        </is>
      </c>
      <c r="O14" s="2" t="inlineStr">
        <is>
          <t>medio</t>
        </is>
      </c>
      <c r="P14" s="2" t="n">
        <v>627771</v>
      </c>
      <c r="Q14" s="2" t="n">
        <v>20</v>
      </c>
      <c r="R14" s="3" t="inlineStr">
        <is>
          <t>python3 03-composicion/compositor.py --minutos 20 --raiz 432 --modo hirajoshi --semilla 627771 --caracter sin-cuenco</t>
        </is>
      </c>
      <c r="S14" s="2" t="inlineStr">
        <is>
          <t>python3 03-composicion/capas.py aves 1240 audio/OBRA-013_capa.wav --semilla 627771 &amp;&amp; python3 03-composicion/ambiente.py audio/OBRA-013_432_hirajoshi.wav audio/OBRA-013_final.wav --fondo mar --nivel-capa -4 --capa audio/OBRA-013_capa.wav</t>
        </is>
      </c>
      <c r="T14" s="4" t="inlineStr">
        <is>
          <t>pendiente</t>
        </is>
      </c>
      <c r="U14" s="4" t="inlineStr"/>
      <c r="V14" s="4" t="inlineStr"/>
      <c r="W14" s="4" t="inlineStr"/>
      <c r="X14" s="5">
        <f>IFERROR(W14/V14*1000,"")</f>
        <v/>
      </c>
    </row>
    <row r="15" ht="58" customHeight="1">
      <c r="A15" s="2" t="inlineStr">
        <is>
          <t>OBRA-014</t>
        </is>
      </c>
      <c r="B15" s="3" t="inlineStr">
        <is>
          <t>Music for Anxiety · Zen Temple · 528 Hz · In and Out · 20 Minutes</t>
        </is>
      </c>
      <c r="C15" s="2" t="inlineStr">
        <is>
          <t>Música para momentos de ansiedad · Templo zen · 528 Hz · Entrada y salida · 20 minutos</t>
        </is>
      </c>
      <c r="D15" s="2" t="inlineStr">
        <is>
          <t>Ansiedad</t>
        </is>
      </c>
      <c r="E15" s="2" t="inlineStr">
        <is>
          <t>zen</t>
        </is>
      </c>
      <c r="F15" s="3" t="inlineStr">
        <is>
          <t>In and Out · 20 Minutes
To accompany a pause when your mind won't stop.
Ambience: zen temple.
Composed around a root of 528 Hz, in just intonation, yo mode.
Breathing cycle: from 6.0 down to 4.5 breaths per minute, 40 % inhale / 60 % exhale.
Original composition, synthesized from scratch, ambience included. No third-party samples.
Chapters:
00:00 [fill in after editing]</t>
        </is>
      </c>
      <c r="G15" s="2" t="inlineStr">
        <is>
          <t>Entrada y salida · 20 minutos
Para acompañar un momento de pausa cuando la cabeza no para.
Ambiente: templo zen.
Compuesta con raíz en 528 Hz, en entonación justa, modo yo.
Ciclo respiratorio: de 6.0 a 4.5 respiraciones por minuto, inhalar 40 % / exhalar 60 %.
Composición original, sintetizada desde cero: el ambiente también. Ninguna muestra procede de terceros.
Capítulos:
00:00 [completar tras el montaje]</t>
        </is>
      </c>
      <c r="H15" s="2" t="inlineStr">
        <is>
          <t>20 MIN</t>
        </is>
      </c>
      <c r="I15" s="2" t="inlineStr">
        <is>
          <t>#RelaxingMusic #Meditation #528Hz</t>
        </is>
      </c>
      <c r="J15" s="3" t="inlineStr">
        <is>
          <t>528 hz, música 528 hz, música para momentos de ansiedad, music for anxiety, ansiedad, yo, música relajante, meditación, relajación, entonación justa, composición original, meditation music, relaxing music, sleep music, singing bowls, just intonation</t>
        </is>
      </c>
      <c r="K15" s="4" t="inlineStr"/>
      <c r="L15" s="4" t="inlineStr"/>
      <c r="M15" s="2" t="n">
        <v>528</v>
      </c>
      <c r="N15" s="2" t="inlineStr">
        <is>
          <t>yo</t>
        </is>
      </c>
      <c r="O15" s="2" t="inlineStr">
        <is>
          <t>medio</t>
        </is>
      </c>
      <c r="P15" s="2" t="n">
        <v>310137</v>
      </c>
      <c r="Q15" s="2" t="n">
        <v>20</v>
      </c>
      <c r="R15" s="3" t="inlineStr">
        <is>
          <t>python3 03-composicion/compositor.py --minutos 20 --raiz 528 --modo yo --semilla 310137 --caracter sin-cuenco</t>
        </is>
      </c>
      <c r="S15" s="2" t="inlineStr">
        <is>
          <t>python3 03-composicion/capas.py zen 1240 audio/OBRA-014_capa.wav --semilla 310137 --densidad 1.4 &amp;&amp; python3 03-composicion/ambiente.py audio/OBRA-014_528_yo.wav audio/OBRA-014_final.wav --fondo mar --nivel-fondo -7 --nivel-capa 2 --capa audio/OBRA-014_capa.wav</t>
        </is>
      </c>
      <c r="T15" s="4" t="inlineStr">
        <is>
          <t>pendiente</t>
        </is>
      </c>
      <c r="U15" s="4" t="inlineStr"/>
      <c r="V15" s="4" t="inlineStr"/>
      <c r="W15" s="4" t="inlineStr"/>
      <c r="X15" s="5">
        <f>IFERROR(W15/V15*1000,"")</f>
        <v/>
      </c>
    </row>
    <row r="16" ht="58" customHeight="1">
      <c r="A16" s="2" t="inlineStr">
        <is>
          <t>OBRA-015</t>
        </is>
      </c>
      <c r="B16" s="3" t="inlineStr">
        <is>
          <t>Music for Anxiety · Ocean and Birds · 639 Hz · Before You Begin · 15 Minutes</t>
        </is>
      </c>
      <c r="C16" s="2" t="inlineStr">
        <is>
          <t>Música para momentos de ansiedad · Mar y pájaros · 639 Hz · Antes de empezar · 15 minutos</t>
        </is>
      </c>
      <c r="D16" s="2" t="inlineStr">
        <is>
          <t>Ansiedad</t>
        </is>
      </c>
      <c r="E16" s="2" t="inlineStr">
        <is>
          <t>mar-aves</t>
        </is>
      </c>
      <c r="F16" s="3" t="inlineStr">
        <is>
          <t>Before You Begin · 15 Minutes
To accompany a pause when your mind won't stop.
Ambience: ocean and birds.
Composed around a root of 639 Hz, in just intonation, yo mode.
Breathing cycle: from 6.0 down to 4.5 breaths per minute, 40 % inhale / 60 % exhale.
Original composition, synthesized from scratch, ambience included. No third-party samples.
Chapters:
00:00 [fill in after editing]</t>
        </is>
      </c>
      <c r="G16" s="2" t="inlineStr">
        <is>
          <t>Antes de empezar · 15 minutos
Para acompañar un momento de pausa cuando la cabeza no para.
Ambiente: mar y pájaros.
Compuesta con raíz en 639 Hz, en entonación justa, modo yo.
Ciclo respiratorio: de 6.0 a 4.5 respiraciones por minuto, inhalar 40 % / exhalar 60 %.
Composición original, sintetizada desde cero: el ambiente también. Ninguna muestra procede de terceros.
Capítulos:
00:00 [completar tras el montaje]</t>
        </is>
      </c>
      <c r="H16" s="2" t="inlineStr">
        <is>
          <t>15 MIN</t>
        </is>
      </c>
      <c r="I16" s="2" t="inlineStr">
        <is>
          <t>#RelaxingMusic #Meditation #639Hz</t>
        </is>
      </c>
      <c r="J16" s="3" t="inlineStr">
        <is>
          <t>639 hz, música 639 hz, música para momentos de ansiedad, music for anxiety, ansiedad, yo, música relajante, meditación, relajación, entonación justa, composición original, meditation music, relaxing music, sleep music, singing bowls, just intonation</t>
        </is>
      </c>
      <c r="K16" s="4" t="inlineStr"/>
      <c r="L16" s="4" t="inlineStr"/>
      <c r="M16" s="2" t="n">
        <v>639</v>
      </c>
      <c r="N16" s="2" t="inlineStr">
        <is>
          <t>yo</t>
        </is>
      </c>
      <c r="O16" s="2" t="inlineStr">
        <is>
          <t>medio</t>
        </is>
      </c>
      <c r="P16" s="2" t="n">
        <v>592463</v>
      </c>
      <c r="Q16" s="2" t="n">
        <v>15</v>
      </c>
      <c r="R16" s="3" t="inlineStr">
        <is>
          <t>python3 03-composicion/compositor.py --minutos 15 --raiz 639 --modo yo --semilla 592463 --caracter sin-cuenco</t>
        </is>
      </c>
      <c r="S16" s="2" t="inlineStr">
        <is>
          <t>python3 03-composicion/capas.py aves 940 audio/OBRA-015_capa.wav --semilla 592463 &amp;&amp; python3 03-composicion/ambiente.py audio/OBRA-015_639_yo.wav audio/OBRA-015_final.wav --fondo mar --nivel-capa -4 --capa audio/OBRA-015_capa.wav</t>
        </is>
      </c>
      <c r="T16" s="4" t="inlineStr">
        <is>
          <t>pendiente</t>
        </is>
      </c>
      <c r="U16" s="4" t="inlineStr"/>
      <c r="V16" s="4" t="inlineStr"/>
      <c r="W16" s="4" t="inlineStr"/>
      <c r="X16" s="5">
        <f>IFERROR(W16/V16*1000,"")</f>
        <v/>
      </c>
    </row>
    <row r="17" ht="58" customHeight="1">
      <c r="A17" s="2" t="inlineStr">
        <is>
          <t>OBRA-016</t>
        </is>
      </c>
      <c r="B17" s="3" t="inlineStr">
        <is>
          <t>Music for Anxiety · Rain on Leaves · 417 Hz · End of the Day · 30 Minutes</t>
        </is>
      </c>
      <c r="C17" s="2" t="inlineStr">
        <is>
          <t>Música para momentos de ansiedad · Lluvia sobre hojas · 417 Hz · El final del día · 30 minutos</t>
        </is>
      </c>
      <c r="D17" s="2" t="inlineStr">
        <is>
          <t>Ansiedad</t>
        </is>
      </c>
      <c r="E17" s="2" t="inlineStr">
        <is>
          <t>lluvia-tambor</t>
        </is>
      </c>
      <c r="F17" s="3" t="inlineStr">
        <is>
          <t>End of the Day · 30 Minutes
To accompany a pause when your mind won't stop.
Ambience: rain on leaves.
Composed around a root of 417 Hz, in just intonation, kumoi mode.
Breathing cycle: from 6.0 down to 4.5 breaths per minute, 40 % inhale / 60 % exhale.
Original composition, synthesized from scratch, ambience included. No third-party samples.
Chapters:
00:00 [fill in after editing]</t>
        </is>
      </c>
      <c r="G17" s="2" t="inlineStr">
        <is>
          <t>El final del día · 30 minutos
Para acompañar un momento de pausa cuando la cabeza no para.
Ambiente: lluvia sobre hojas.
Compuesta con raíz en 417 Hz, en entonación justa, modo kumoi.
Ciclo respiratorio: de 6.0 a 4.5 respiraciones por minuto, inhalar 40 % / exhalar 60 %.
Composición original, sintetizada desde cero: el ambiente también. Ninguna muestra procede de terceros.
Capítulos:
00:00 [completar tras el montaje]</t>
        </is>
      </c>
      <c r="H17" s="2" t="inlineStr">
        <is>
          <t>30 MIN</t>
        </is>
      </c>
      <c r="I17" s="2" t="inlineStr">
        <is>
          <t>#RelaxingMusic #Meditation #417Hz</t>
        </is>
      </c>
      <c r="J17" s="3" t="inlineStr">
        <is>
          <t>417 hz, música 417 hz, música para momentos de ansiedad, music for anxiety, ansiedad, kumoi, música relajante, meditación, relajación, entonación justa, composición original, meditation music, relaxing music, sleep music, singing bowls, just intonation</t>
        </is>
      </c>
      <c r="K17" s="4" t="inlineStr"/>
      <c r="L17" s="4" t="inlineStr"/>
      <c r="M17" s="2" t="n">
        <v>417</v>
      </c>
      <c r="N17" s="2" t="inlineStr">
        <is>
          <t>kumoi</t>
        </is>
      </c>
      <c r="O17" s="2" t="inlineStr">
        <is>
          <t>medio</t>
        </is>
      </c>
      <c r="P17" s="2" t="n">
        <v>250697</v>
      </c>
      <c r="Q17" s="2" t="n">
        <v>30</v>
      </c>
      <c r="R17" s="3" t="inlineStr">
        <is>
          <t>python3 03-composicion/compositor.py --minutos 30 --raiz 417 --modo kumoi --semilla 250697 --caracter sin-cuenco</t>
        </is>
      </c>
      <c r="S17" s="2" t="inlineStr">
        <is>
          <t>python3 03-composicion/capas.py ancestral 1840 audio/OBRA-016_capa.wav --semilla 250697 &amp;&amp; python3 03-composicion/ambiente.py audio/OBRA-016_417_kumoi.wav audio/OBRA-016_final.wav --fondo fuego --nivel-capa 0 --nivel-obra -20 --capa audio/OBRA-016_capa.wav</t>
        </is>
      </c>
      <c r="T17" s="4" t="inlineStr">
        <is>
          <t>pendiente</t>
        </is>
      </c>
      <c r="U17" s="4" t="inlineStr"/>
      <c r="V17" s="4" t="inlineStr"/>
      <c r="W17" s="4" t="inlineStr"/>
      <c r="X17" s="5">
        <f>IFERROR(W17/V17*1000,"")</f>
        <v/>
      </c>
    </row>
    <row r="18" ht="58" customHeight="1">
      <c r="A18" s="2" t="inlineStr">
        <is>
          <t>OBRA-017</t>
        </is>
      </c>
      <c r="B18" s="3" t="inlineStr">
        <is>
          <t>Meditation Music · Zen Temple · 417 Hz · Empty Temple · 45 Minutes</t>
        </is>
      </c>
      <c r="C18" s="2" t="inlineStr">
        <is>
          <t>Música para meditar · Templo zen · 417 Hz · Templo vacío · 45 minutos</t>
        </is>
      </c>
      <c r="D18" s="2" t="inlineStr">
        <is>
          <t>Meditar</t>
        </is>
      </c>
      <c r="E18" s="2" t="inlineStr">
        <is>
          <t>zen</t>
        </is>
      </c>
      <c r="F18" s="3" t="inlineStr">
        <is>
          <t>Empty Temple · 45 Minutes
To accompany a meditation practice.
Ambience: zen temple.
Composed around a root of 417 Hz, in just intonation, hirajoshi mode.
Breathing cycle: from 5.5 down to 4.5 breaths per minute, 40 % inhale / 60 % exhale.
Original composition, synthesized from scratch, ambience included. No third-party samples.
Chapters:
00:00 [fill in after editing]</t>
        </is>
      </c>
      <c r="G18" s="2" t="inlineStr">
        <is>
          <t>Templo vacío · 45 minutos
Para acompañar una práctica de meditación.
Ambiente: templo zen.
Compuesta con raíz en 417 Hz, en entonación justa, modo hirajoshi.
Ciclo respiratorio: de 5.5 a 4.5 respiraciones por minuto, inhalar 40 % / exhalar 60 %.
Composición original, sintetizada desde cero: el ambiente también. Ninguna muestra procede de terceros.
Capítulos:
00:00 [completar tras el montaje]</t>
        </is>
      </c>
      <c r="H18" s="2" t="inlineStr">
        <is>
          <t>45 MIN</t>
        </is>
      </c>
      <c r="I18" s="2" t="inlineStr">
        <is>
          <t>#MeditationMusic #Meditation #417Hz</t>
        </is>
      </c>
      <c r="J18" s="3" t="inlineStr">
        <is>
          <t>417 hz, música 417 hz, música para meditar, meditation music, meditar, hirajoshi, música relajante, meditación, relajación, entonación justa, composición original, relaxing music, sleep music, singing bowls, just intonation</t>
        </is>
      </c>
      <c r="K18" s="4" t="inlineStr"/>
      <c r="L18" s="4" t="inlineStr"/>
      <c r="M18" s="2" t="n">
        <v>417</v>
      </c>
      <c r="N18" s="2" t="inlineStr">
        <is>
          <t>hirajoshi</t>
        </is>
      </c>
      <c r="O18" s="2" t="inlineStr">
        <is>
          <t>medio</t>
        </is>
      </c>
      <c r="P18" s="2" t="n">
        <v>714152</v>
      </c>
      <c r="Q18" s="2" t="n">
        <v>45</v>
      </c>
      <c r="R18" s="3" t="inlineStr">
        <is>
          <t>python3 03-composicion/compositor.py --minutos 45 --raiz 417 --modo hirajoshi --semilla 714152 --caracter sin-cuenco</t>
        </is>
      </c>
      <c r="S18" s="2" t="inlineStr">
        <is>
          <t>python3 03-composicion/capas.py zen 2740 audio/OBRA-017_capa.wav --semilla 714152 --densidad 1.4 &amp;&amp; python3 03-composicion/ambiente.py audio/OBRA-017_417_hirajoshi.wav audio/OBRA-017_final.wav --fondo mar --nivel-fondo -7 --nivel-capa 2 --capa audio/OBRA-017_capa.wav</t>
        </is>
      </c>
      <c r="T18" s="4" t="inlineStr">
        <is>
          <t>pendiente</t>
        </is>
      </c>
      <c r="U18" s="4" t="inlineStr"/>
      <c r="V18" s="4" t="inlineStr"/>
      <c r="W18" s="4" t="inlineStr"/>
      <c r="X18" s="5">
        <f>IFERROR(W18/V18*1000,"")</f>
        <v/>
      </c>
    </row>
    <row r="19" ht="58" customHeight="1">
      <c r="A19" s="2" t="inlineStr">
        <is>
          <t>OBRA-018</t>
        </is>
      </c>
      <c r="B19" s="3" t="inlineStr">
        <is>
          <t>Meditation Music · Zen Temple · 528 Hz · Seven Bells · 45 Minutes</t>
        </is>
      </c>
      <c r="C19" s="2" t="inlineStr">
        <is>
          <t>Música para meditar · Templo zen · 528 Hz · Siete campanas · 45 minutos</t>
        </is>
      </c>
      <c r="D19" s="2" t="inlineStr">
        <is>
          <t>Meditar</t>
        </is>
      </c>
      <c r="E19" s="2" t="inlineStr">
        <is>
          <t>zen</t>
        </is>
      </c>
      <c r="F19" s="3" t="inlineStr">
        <is>
          <t>Seven Bells · 45 Minutes
To accompany a meditation practice.
Ambience: zen temple.
Composed around a root of 528 Hz, in just intonation, hirajoshi mode.
Breathing cycle: from 5.5 down to 4.5 breaths per minute, 40 % inhale / 60 % exhale.
Original composition, synthesized from scratch, ambience included. No third-party samples.
Chapters:
00:00 [fill in after editing]</t>
        </is>
      </c>
      <c r="G19" s="2" t="inlineStr">
        <is>
          <t>Siete campanas · 45 minutos
Para acompañar una práctica de meditación.
Ambiente: templo zen.
Compuesta con raíz en 528 Hz, en entonación justa, modo hirajoshi.
Ciclo respiratorio: de 5.5 a 4.5 respiraciones por minuto, inhalar 40 % / exhalar 60 %.
Composición original, sintetizada desde cero: el ambiente también. Ninguna muestra procede de terceros.
Capítulos:
00:00 [completar tras el montaje]</t>
        </is>
      </c>
      <c r="H19" s="2" t="inlineStr">
        <is>
          <t>45 MIN</t>
        </is>
      </c>
      <c r="I19" s="2" t="inlineStr">
        <is>
          <t>#MeditationMusic #Meditation #528Hz</t>
        </is>
      </c>
      <c r="J19" s="3" t="inlineStr">
        <is>
          <t>528 hz, música 528 hz, música para meditar, meditation music, meditar, hirajoshi, música relajante, meditación, relajación, entonación justa, composición original, relaxing music, sleep music, singing bowls, just intonation</t>
        </is>
      </c>
      <c r="K19" s="4" t="inlineStr"/>
      <c r="L19" s="4" t="inlineStr"/>
      <c r="M19" s="2" t="n">
        <v>528</v>
      </c>
      <c r="N19" s="2" t="inlineStr">
        <is>
          <t>hirajoshi</t>
        </is>
      </c>
      <c r="O19" s="2" t="inlineStr">
        <is>
          <t>medio</t>
        </is>
      </c>
      <c r="P19" s="2" t="n">
        <v>735455</v>
      </c>
      <c r="Q19" s="2" t="n">
        <v>45</v>
      </c>
      <c r="R19" s="3" t="inlineStr">
        <is>
          <t>python3 03-composicion/compositor.py --minutos 45 --raiz 528 --modo hirajoshi --semilla 735455 --caracter sin-cuenco</t>
        </is>
      </c>
      <c r="S19" s="2" t="inlineStr">
        <is>
          <t>python3 03-composicion/capas.py zen 2740 audio/OBRA-018_capa.wav --semilla 735455 --densidad 1.4 &amp;&amp; python3 03-composicion/ambiente.py audio/OBRA-018_528_hirajoshi.wav audio/OBRA-018_final.wav --fondo mar --nivel-fondo -7 --nivel-capa 2 --capa audio/OBRA-018_capa.wav</t>
        </is>
      </c>
      <c r="T19" s="4" t="inlineStr">
        <is>
          <t>pendiente</t>
        </is>
      </c>
      <c r="U19" s="4" t="inlineStr"/>
      <c r="V19" s="4" t="inlineStr"/>
      <c r="W19" s="4" t="inlineStr"/>
      <c r="X19" s="5">
        <f>IFERROR(W19/V19*1000,"")</f>
        <v/>
      </c>
    </row>
    <row r="20" ht="58" customHeight="1">
      <c r="A20" s="2" t="inlineStr">
        <is>
          <t>OBRA-019</t>
        </is>
      </c>
      <c r="B20" s="3" t="inlineStr">
        <is>
          <t>Meditation Music · Zen Temple · 432 Hz · Metal and Air · 1 Hour</t>
        </is>
      </c>
      <c r="C20" s="2" t="inlineStr">
        <is>
          <t>Música para meditar · Templo zen · 432 Hz · Metal y aire · 1 hora</t>
        </is>
      </c>
      <c r="D20" s="2" t="inlineStr">
        <is>
          <t>Meditar</t>
        </is>
      </c>
      <c r="E20" s="2" t="inlineStr">
        <is>
          <t>zen</t>
        </is>
      </c>
      <c r="F20" s="3" t="inlineStr">
        <is>
          <t>Metal and Air · 1 Hour
To accompany a meditation practice.
Ambience: zen temple.
Composed around a root of 432 Hz, in just intonation, shin mode.
Breathing cycle: from 5.5 down to 4.5 breaths per minute, 40 % inhale / 60 % exhale.
Original composition, synthesized from scratch, ambience included. No third-party samples.
Chapters:
00:00 [fill in after editing]</t>
        </is>
      </c>
      <c r="G20" s="2" t="inlineStr">
        <is>
          <t>Metal y aire · 1 hora
Para acompañar una práctica de meditación.
Ambiente: templo zen.
Compuesta con raíz en 432 Hz, en entonación justa, modo shin.
Ciclo respiratorio: de 5.5 a 4.5 respiraciones por minuto, inhalar 40 % / exhalar 60 %.
Composición original, sintetizada desde cero: el ambiente también. Ninguna muestra procede de terceros.
Capítulos:
00:00 [completar tras el montaje]</t>
        </is>
      </c>
      <c r="H20" s="2" t="inlineStr">
        <is>
          <t>60 MIN</t>
        </is>
      </c>
      <c r="I20" s="2" t="inlineStr">
        <is>
          <t>#MeditationMusic #Meditation #432Hz</t>
        </is>
      </c>
      <c r="J20" s="3" t="inlineStr">
        <is>
          <t>432 hz, música 432 hz, música para meditar, meditation music, meditar, shin, música relajante, meditación, relajación, entonación justa, composición original, relaxing music, sleep music, singing bowls, just intonation</t>
        </is>
      </c>
      <c r="K20" s="4" t="inlineStr"/>
      <c r="L20" s="4" t="inlineStr"/>
      <c r="M20" s="2" t="n">
        <v>432</v>
      </c>
      <c r="N20" s="2" t="inlineStr">
        <is>
          <t>shin</t>
        </is>
      </c>
      <c r="O20" s="2" t="inlineStr">
        <is>
          <t>medio</t>
        </is>
      </c>
      <c r="P20" s="2" t="n">
        <v>627577</v>
      </c>
      <c r="Q20" s="2" t="n">
        <v>60</v>
      </c>
      <c r="R20" s="3" t="inlineStr">
        <is>
          <t>python3 03-composicion/compositor.py --minutos 60 --raiz 432 --modo shin --semilla 627577 --caracter sin-cuenco</t>
        </is>
      </c>
      <c r="S20" s="2" t="inlineStr">
        <is>
          <t>python3 03-composicion/capas.py zen 3640 audio/OBRA-019_capa.wav --semilla 627577 --densidad 1.4 &amp;&amp; python3 03-composicion/ambiente.py audio/OBRA-019_432_shin.wav audio/OBRA-019_final.wav --fondo mar --nivel-fondo -7 --nivel-capa 2 --capa audio/OBRA-019_capa.wav</t>
        </is>
      </c>
      <c r="T20" s="4" t="inlineStr">
        <is>
          <t>pendiente</t>
        </is>
      </c>
      <c r="U20" s="4" t="inlineStr"/>
      <c r="V20" s="4" t="inlineStr"/>
      <c r="W20" s="4" t="inlineStr"/>
      <c r="X20" s="5">
        <f>IFERROR(W20/V20*1000,"")</f>
        <v/>
      </c>
    </row>
    <row r="21" ht="58" customHeight="1">
      <c r="A21" s="2" t="inlineStr">
        <is>
          <t>OBRA-020</t>
        </is>
      </c>
      <c r="B21" s="3" t="inlineStr">
        <is>
          <t>Meditation Music · Rain on Leaves · 528 Hz · Strike and Silence · 30 Minutes</t>
        </is>
      </c>
      <c r="C21" s="2" t="inlineStr">
        <is>
          <t>Música para meditar · Lluvia sobre hojas · 528 Hz · Golpe y silencio · 30 minutos</t>
        </is>
      </c>
      <c r="D21" s="2" t="inlineStr">
        <is>
          <t>Meditar</t>
        </is>
      </c>
      <c r="E21" s="2" t="inlineStr">
        <is>
          <t>lluvia-tambor</t>
        </is>
      </c>
      <c r="F21" s="3" t="inlineStr">
        <is>
          <t>Strike and Silence · 30 Minutes
To accompany a meditation practice.
Ambience: rain on leaves.
Composed around a root of 528 Hz, in just intonation, shin mode.
Breathing cycle: from 5.5 down to 4.5 breaths per minute, 40 % inhale / 60 % exhale.
Original composition, synthesized from scratch, ambience included. No third-party samples.
Chapters:
00:00 [fill in after editing]</t>
        </is>
      </c>
      <c r="G21" s="2" t="inlineStr">
        <is>
          <t>Golpe y silencio · 30 minutos
Para acompañar una práctica de meditación.
Ambiente: lluvia sobre hojas.
Compuesta con raíz en 528 Hz, en entonación justa, modo shin.
Ciclo respiratorio: de 5.5 a 4.5 respiraciones por minuto, inhalar 40 % / exhalar 60 %.
Composición original, sintetizada desde cero: el ambiente también. Ninguna muestra procede de terceros.
Capítulos:
00:00 [completar tras el montaje]</t>
        </is>
      </c>
      <c r="H21" s="2" t="inlineStr">
        <is>
          <t>30 MIN</t>
        </is>
      </c>
      <c r="I21" s="2" t="inlineStr">
        <is>
          <t>#MeditationMusic #Meditation #528Hz</t>
        </is>
      </c>
      <c r="J21" s="3" t="inlineStr">
        <is>
          <t>528 hz, música 528 hz, música para meditar, meditation music, meditar, shin, música relajante, meditación, relajación, entonación justa, composición original, relaxing music, sleep music, singing bowls, just intonation</t>
        </is>
      </c>
      <c r="K21" s="4" t="inlineStr"/>
      <c r="L21" s="4" t="inlineStr"/>
      <c r="M21" s="2" t="n">
        <v>528</v>
      </c>
      <c r="N21" s="2" t="inlineStr">
        <is>
          <t>shin</t>
        </is>
      </c>
      <c r="O21" s="2" t="inlineStr">
        <is>
          <t>medio</t>
        </is>
      </c>
      <c r="P21" s="2" t="n">
        <v>632595</v>
      </c>
      <c r="Q21" s="2" t="n">
        <v>30</v>
      </c>
      <c r="R21" s="3" t="inlineStr">
        <is>
          <t>python3 03-composicion/compositor.py --minutos 30 --raiz 528 --modo shin --semilla 632595 --caracter sin-cuenco</t>
        </is>
      </c>
      <c r="S21" s="2" t="inlineStr">
        <is>
          <t>python3 03-composicion/capas.py ancestral 1840 audio/OBRA-020_capa.wav --semilla 632595 &amp;&amp; python3 03-composicion/ambiente.py audio/OBRA-020_528_shin.wav audio/OBRA-020_final.wav --fondo fuego --nivel-capa 0 --nivel-obra -20 --capa audio/OBRA-020_capa.wav</t>
        </is>
      </c>
      <c r="T21" s="4" t="inlineStr">
        <is>
          <t>pendiente</t>
        </is>
      </c>
      <c r="U21" s="4" t="inlineStr"/>
      <c r="V21" s="4" t="inlineStr"/>
      <c r="W21" s="4" t="inlineStr"/>
      <c r="X21" s="5">
        <f>IFERROR(W21/V21*1000,"")</f>
        <v/>
      </c>
    </row>
    <row r="22" ht="58" customHeight="1">
      <c r="A22" s="2" t="inlineStr">
        <is>
          <t>OBRA-021</t>
        </is>
      </c>
      <c r="B22" s="3" t="inlineStr">
        <is>
          <t>Meditation Music · Zen Temple · 396 Hz · Bronze and Wood · 45 Minutes</t>
        </is>
      </c>
      <c r="C22" s="2" t="inlineStr">
        <is>
          <t>Música para meditar · Templo zen · 396 Hz · Bronce y madera · 45 minutos</t>
        </is>
      </c>
      <c r="D22" s="2" t="inlineStr">
        <is>
          <t>Meditar</t>
        </is>
      </c>
      <c r="E22" s="2" t="inlineStr">
        <is>
          <t>zen</t>
        </is>
      </c>
      <c r="F22" s="3" t="inlineStr">
        <is>
          <t>Bronze and Wood · 45 Minutes
To accompany a meditation practice.
Ambience: zen temple.
Composed around a root of 396 Hz, in just intonation, kumoi mode.
Breathing cycle: from 5.5 down to 4.5 breaths per minute, 40 % inhale / 60 % exhale.
Original composition, synthesized from scratch, ambience included. No third-party samples.
Chapters:
00:00 [fill in after editing]</t>
        </is>
      </c>
      <c r="G22" s="2" t="inlineStr">
        <is>
          <t>Bronce y madera · 45 minutos
Para acompañar una práctica de meditación.
Ambiente: templo zen.
Compuesta con raíz en 396 Hz, en entonación justa, modo kumoi.
Ciclo respiratorio: de 5.5 a 4.5 respiraciones por minuto, inhalar 40 % / exhalar 60 %.
Composición original, sintetizada desde cero: el ambiente también. Ninguna muestra procede de terceros.
Capítulos:
00:00 [completar tras el montaje]</t>
        </is>
      </c>
      <c r="H22" s="2" t="inlineStr">
        <is>
          <t>45 MIN</t>
        </is>
      </c>
      <c r="I22" s="2" t="inlineStr">
        <is>
          <t>#MeditationMusic #Meditation #396Hz</t>
        </is>
      </c>
      <c r="J22" s="3" t="inlineStr">
        <is>
          <t>396 hz, música 396 hz, música para meditar, meditation music, meditar, kumoi, música relajante, meditación, relajación, entonación justa, composición original, relaxing music, sleep music, singing bowls, just intonation</t>
        </is>
      </c>
      <c r="K22" s="4" t="inlineStr"/>
      <c r="L22" s="4" t="inlineStr"/>
      <c r="M22" s="2" t="n">
        <v>396</v>
      </c>
      <c r="N22" s="2" t="inlineStr">
        <is>
          <t>kumoi</t>
        </is>
      </c>
      <c r="O22" s="2" t="inlineStr">
        <is>
          <t>medio</t>
        </is>
      </c>
      <c r="P22" s="2" t="n">
        <v>864630</v>
      </c>
      <c r="Q22" s="2" t="n">
        <v>45</v>
      </c>
      <c r="R22" s="3" t="inlineStr">
        <is>
          <t>python3 03-composicion/compositor.py --minutos 45 --raiz 396 --modo kumoi --semilla 864630 --caracter sin-cuenco</t>
        </is>
      </c>
      <c r="S22" s="2" t="inlineStr">
        <is>
          <t>python3 03-composicion/capas.py zen 2740 audio/OBRA-021_capa.wav --semilla 864630 --densidad 1.4 &amp;&amp; python3 03-composicion/ambiente.py audio/OBRA-021_396_kumoi.wav audio/OBRA-021_final.wav --fondo mar --nivel-fondo -7 --nivel-capa 2 --capa audio/OBRA-021_capa.wav</t>
        </is>
      </c>
      <c r="T22" s="4" t="inlineStr">
        <is>
          <t>pendiente</t>
        </is>
      </c>
      <c r="U22" s="4" t="inlineStr"/>
      <c r="V22" s="4" t="inlineStr"/>
      <c r="W22" s="4" t="inlineStr"/>
      <c r="X22" s="5">
        <f>IFERROR(W22/V22*1000,"")</f>
        <v/>
      </c>
    </row>
    <row r="23" ht="58" customHeight="1">
      <c r="A23" s="2" t="inlineStr">
        <is>
          <t>OBRA-022</t>
        </is>
      </c>
      <c r="B23" s="3" t="inlineStr">
        <is>
          <t>Meditation Music · Zen Temple · 639 Hz · Long Resonance · 1 Hour</t>
        </is>
      </c>
      <c r="C23" s="2" t="inlineStr">
        <is>
          <t>Música para meditar · Templo zen · 639 Hz · Resonancia larga · 1 hora</t>
        </is>
      </c>
      <c r="D23" s="2" t="inlineStr">
        <is>
          <t>Meditar</t>
        </is>
      </c>
      <c r="E23" s="2" t="inlineStr">
        <is>
          <t>zen</t>
        </is>
      </c>
      <c r="F23" s="3" t="inlineStr">
        <is>
          <t>Long Resonance · 1 Hour
To accompany a meditation practice.
Ambience: zen temple.
Composed around a root of 639 Hz, in just intonation, yo mode.
Breathing cycle: from 5.5 down to 4.5 breaths per minute, 40 % inhale / 60 % exhale.
Original composition, synthesized from scratch, ambience included. No third-party samples.
Chapters:
00:00 [fill in after editing]</t>
        </is>
      </c>
      <c r="G23" s="2" t="inlineStr">
        <is>
          <t>Resonancia larga · 1 hora
Para acompañar una práctica de meditación.
Ambiente: templo zen.
Compuesta con raíz en 639 Hz, en entonación justa, modo yo.
Ciclo respiratorio: de 5.5 a 4.5 respiraciones por minuto, inhalar 40 % / exhalar 60 %.
Composición original, sintetizada desde cero: el ambiente también. Ninguna muestra procede de terceros.
Capítulos:
00:00 [completar tras el montaje]</t>
        </is>
      </c>
      <c r="H23" s="2" t="inlineStr">
        <is>
          <t>60 MIN</t>
        </is>
      </c>
      <c r="I23" s="2" t="inlineStr">
        <is>
          <t>#MeditationMusic #Meditation #639Hz</t>
        </is>
      </c>
      <c r="J23" s="3" t="inlineStr">
        <is>
          <t>639 hz, música 639 hz, música para meditar, meditation music, meditar, yo, música relajante, meditación, relajación, entonación justa, composición original, relaxing music, sleep music, singing bowls, just intonation</t>
        </is>
      </c>
      <c r="K23" s="4" t="inlineStr"/>
      <c r="L23" s="4" t="inlineStr"/>
      <c r="M23" s="2" t="n">
        <v>639</v>
      </c>
      <c r="N23" s="2" t="inlineStr">
        <is>
          <t>yo</t>
        </is>
      </c>
      <c r="O23" s="2" t="inlineStr">
        <is>
          <t>medio</t>
        </is>
      </c>
      <c r="P23" s="2" t="n">
        <v>335798</v>
      </c>
      <c r="Q23" s="2" t="n">
        <v>60</v>
      </c>
      <c r="R23" s="3" t="inlineStr">
        <is>
          <t>python3 03-composicion/compositor.py --minutos 60 --raiz 639 --modo yo --semilla 335798 --caracter sin-cuenco</t>
        </is>
      </c>
      <c r="S23" s="2" t="inlineStr">
        <is>
          <t>python3 03-composicion/capas.py zen 3640 audio/OBRA-022_capa.wav --semilla 335798 --densidad 1.4 &amp;&amp; python3 03-composicion/ambiente.py audio/OBRA-022_639_yo.wav audio/OBRA-022_final.wav --fondo mar --nivel-fondo -7 --nivel-capa 2 --capa audio/OBRA-022_capa.wav</t>
        </is>
      </c>
      <c r="T23" s="4" t="inlineStr">
        <is>
          <t>pendiente</t>
        </is>
      </c>
      <c r="U23" s="4" t="inlineStr"/>
      <c r="V23" s="4" t="inlineStr"/>
      <c r="W23" s="4" t="inlineStr"/>
      <c r="X23" s="5">
        <f>IFERROR(W23/V23*1000,"")</f>
        <v/>
      </c>
    </row>
    <row r="24" ht="58" customHeight="1">
      <c r="A24" s="2" t="inlineStr">
        <is>
          <t>OBRA-023</t>
        </is>
      </c>
      <c r="B24" s="3" t="inlineStr">
        <is>
          <t>Meditation Music · Zen Temple · 528 Hz · Just One · 20 Minutes</t>
        </is>
      </c>
      <c r="C24" s="2" t="inlineStr">
        <is>
          <t>Música para meditar · Templo zen · 528 Hz · Uno solo · 20 minutos</t>
        </is>
      </c>
      <c r="D24" s="2" t="inlineStr">
        <is>
          <t>Meditar</t>
        </is>
      </c>
      <c r="E24" s="2" t="inlineStr">
        <is>
          <t>zen</t>
        </is>
      </c>
      <c r="F24" s="3" t="inlineStr">
        <is>
          <t>Just One · 20 Minutes
To accompany a meditation practice.
Ambience: zen temple.
Composed around a root of 528 Hz, in just intonation, shin mode.
Breathing cycle: from 5.5 down to 4.5 breaths per minute, 40 % inhale / 60 % exhale.
Original composition, synthesized from scratch, ambience included. No third-party samples.
Chapters:
00:00 [fill in after editing]</t>
        </is>
      </c>
      <c r="G24" s="2" t="inlineStr">
        <is>
          <t>Uno solo · 20 minutos
Para acompañar una práctica de meditación.
Ambiente: templo zen.
Compuesta con raíz en 528 Hz, en entonación justa, modo shin.
Ciclo respiratorio: de 5.5 a 4.5 respiraciones por minuto, inhalar 40 % / exhalar 60 %.
Composición original, sintetizada desde cero: el ambiente también. Ninguna muestra procede de terceros.
Capítulos:
00:00 [completar tras el montaje]</t>
        </is>
      </c>
      <c r="H24" s="2" t="inlineStr">
        <is>
          <t>20 MIN</t>
        </is>
      </c>
      <c r="I24" s="2" t="inlineStr">
        <is>
          <t>#MeditationMusic #Meditation #528Hz</t>
        </is>
      </c>
      <c r="J24" s="3" t="inlineStr">
        <is>
          <t>528 hz, música 528 hz, música para meditar, meditation music, meditar, shin, música relajante, meditación, relajación, entonación justa, composición original, relaxing music, sleep music, singing bowls, just intonation</t>
        </is>
      </c>
      <c r="K24" s="4" t="inlineStr"/>
      <c r="L24" s="4" t="inlineStr"/>
      <c r="M24" s="2" t="n">
        <v>528</v>
      </c>
      <c r="N24" s="2" t="inlineStr">
        <is>
          <t>shin</t>
        </is>
      </c>
      <c r="O24" s="2" t="inlineStr">
        <is>
          <t>medio</t>
        </is>
      </c>
      <c r="P24" s="2" t="n">
        <v>299306</v>
      </c>
      <c r="Q24" s="2" t="n">
        <v>20</v>
      </c>
      <c r="R24" s="3" t="inlineStr">
        <is>
          <t>python3 03-composicion/compositor.py --minutos 20 --raiz 528 --modo shin --semilla 299306 --caracter sin-cuenco</t>
        </is>
      </c>
      <c r="S24" s="2" t="inlineStr">
        <is>
          <t>python3 03-composicion/capas.py zen 1240 audio/OBRA-023_capa.wav --semilla 299306 --densidad 1.4 &amp;&amp; python3 03-composicion/ambiente.py audio/OBRA-023_528_shin.wav audio/OBRA-023_final.wav --fondo mar --nivel-fondo -7 --nivel-capa 2 --capa audio/OBRA-023_capa.wav</t>
        </is>
      </c>
      <c r="T24" s="4" t="inlineStr">
        <is>
          <t>pendiente</t>
        </is>
      </c>
      <c r="U24" s="4" t="inlineStr"/>
      <c r="V24" s="4" t="inlineStr"/>
      <c r="W24" s="4" t="inlineStr"/>
      <c r="X24" s="5">
        <f>IFERROR(W24/V24*1000,"")</f>
        <v/>
      </c>
    </row>
    <row r="25" ht="58" customHeight="1">
      <c r="A25" s="2" t="inlineStr">
        <is>
          <t>OBRA-024</t>
        </is>
      </c>
      <c r="B25" s="3" t="inlineStr">
        <is>
          <t>Meditation Music · Rain on Leaves · 432 Hz · What Remains of Sound · 1 Hour</t>
        </is>
      </c>
      <c r="C25" s="2" t="inlineStr">
        <is>
          <t>Música para meditar · Lluvia sobre hojas · 432 Hz · Lo que queda del sonido · 1 hora</t>
        </is>
      </c>
      <c r="D25" s="2" t="inlineStr">
        <is>
          <t>Meditar</t>
        </is>
      </c>
      <c r="E25" s="2" t="inlineStr">
        <is>
          <t>lluvia-tambor</t>
        </is>
      </c>
      <c r="F25" s="3" t="inlineStr">
        <is>
          <t>What Remains of Sound · 1 Hour
To accompany a meditation practice.
Ambience: rain on leaves.
Composed around a root of 432 Hz, in just intonation, kumoi mode.
Breathing cycle: from 5.5 down to 4.5 breaths per minute, 40 % inhale / 60 % exhale.
Original composition, synthesized from scratch, ambience included. No third-party samples.
Chapters:
00:00 [fill in after editing]</t>
        </is>
      </c>
      <c r="G25" s="2" t="inlineStr">
        <is>
          <t>Lo que queda del sonido · 1 hora
Para acompañar una práctica de meditación.
Ambiente: lluvia sobre hojas.
Compuesta con raíz en 432 Hz, en entonación justa, modo kumoi.
Ciclo respiratorio: de 5.5 a 4.5 respiraciones por minuto, inhalar 40 % / exhalar 60 %.
Composición original, sintetizada desde cero: el ambiente también. Ninguna muestra procede de terceros.
Capítulos:
00:00 [completar tras el montaje]</t>
        </is>
      </c>
      <c r="H25" s="2" t="inlineStr">
        <is>
          <t>60 MIN</t>
        </is>
      </c>
      <c r="I25" s="2" t="inlineStr">
        <is>
          <t>#MeditationMusic #Meditation #432Hz</t>
        </is>
      </c>
      <c r="J25" s="3" t="inlineStr">
        <is>
          <t>432 hz, música 432 hz, música para meditar, meditation music, meditar, kumoi, música relajante, meditación, relajación, entonación justa, composición original, relaxing music, sleep music, singing bowls, just intonation</t>
        </is>
      </c>
      <c r="K25" s="4" t="inlineStr"/>
      <c r="L25" s="4" t="inlineStr"/>
      <c r="M25" s="2" t="n">
        <v>432</v>
      </c>
      <c r="N25" s="2" t="inlineStr">
        <is>
          <t>kumoi</t>
        </is>
      </c>
      <c r="O25" s="2" t="inlineStr">
        <is>
          <t>medio</t>
        </is>
      </c>
      <c r="P25" s="2" t="n">
        <v>926202</v>
      </c>
      <c r="Q25" s="2" t="n">
        <v>60</v>
      </c>
      <c r="R25" s="3" t="inlineStr">
        <is>
          <t>python3 03-composicion/compositor.py --minutos 60 --raiz 432 --modo kumoi --semilla 926202 --caracter sin-cuenco</t>
        </is>
      </c>
      <c r="S25" s="2" t="inlineStr">
        <is>
          <t>python3 03-composicion/capas.py ancestral 3640 audio/OBRA-024_capa.wav --semilla 926202 &amp;&amp; python3 03-composicion/ambiente.py audio/OBRA-024_432_kumoi.wav audio/OBRA-024_final.wav --fondo fuego --nivel-capa 0 --nivel-obra -20 --capa audio/OBRA-024_capa.wav</t>
        </is>
      </c>
      <c r="T25" s="4" t="inlineStr">
        <is>
          <t>pendiente</t>
        </is>
      </c>
      <c r="U25" s="4" t="inlineStr"/>
      <c r="V25" s="4" t="inlineStr"/>
      <c r="W25" s="4" t="inlineStr"/>
      <c r="X25" s="5">
        <f>IFERROR(W25/V25*1000,"")</f>
        <v/>
      </c>
    </row>
    <row r="26" ht="58" customHeight="1">
      <c r="A26" s="2" t="inlineStr">
        <is>
          <t>OBRA-025</t>
        </is>
      </c>
      <c r="B26" s="3" t="inlineStr">
        <is>
          <t>Music to Release Tension · Ocean and Birds · 528 Hz · Salt Root · 1 Hour</t>
        </is>
      </c>
      <c r="C26" s="2" t="inlineStr">
        <is>
          <t>Música para soltar tensión · Mar y pájaros · 528 Hz · Raíz de sal · 1 hora</t>
        </is>
      </c>
      <c r="D26" s="2" t="inlineStr">
        <is>
          <t>Soltar</t>
        </is>
      </c>
      <c r="E26" s="2" t="inlineStr">
        <is>
          <t>mar-aves</t>
        </is>
      </c>
      <c r="F26" s="3" t="inlineStr">
        <is>
          <t>Salt Root · 1 Hour
To accompany some time to let go of the day's tension.
Ambience: ocean and birds.
Composed around a root of 528 Hz, in just intonation, hirajoshi mode.
Breathing cycle: from 6.0 down to 4.5 breaths per minute, 40 % inhale / 60 % exhale.
Original composition, synthesized from scratch, ambience included. No third-party samples.
Chapters:
00:00 [fill in after editing]</t>
        </is>
      </c>
      <c r="G26" s="2" t="inlineStr">
        <is>
          <t>Raíz de sal · 1 hora
Para acompañar un rato de soltar la tensión del día.
Ambiente: mar y pájaros.
Compuesta con raíz en 528 Hz, en entonación justa, modo hirajoshi.
Ciclo respiratorio: de 6.0 a 4.5 respiraciones por minuto, inhalar 40 % / exhalar 60 %.
Composición original, sintetizada desde cero: el ambiente también. Ninguna muestra procede de terceros.
Capítulos:
00:00 [completar tras el montaje]</t>
        </is>
      </c>
      <c r="H26" s="2" t="inlineStr">
        <is>
          <t>528 HZ</t>
        </is>
      </c>
      <c r="I26" s="2" t="inlineStr">
        <is>
          <t>#RelaxingMusic #Meditation #528Hz</t>
        </is>
      </c>
      <c r="J26" s="3" t="inlineStr">
        <is>
          <t>528 hz, música 528 hz, música para soltar tensión, music to release tension, soltar, hirajoshi, música relajante, meditación, relajación, entonación justa, composición original, meditation music, relaxing music, sleep music, singing bowls, just intonation</t>
        </is>
      </c>
      <c r="K26" s="4" t="inlineStr"/>
      <c r="L26" s="4" t="inlineStr"/>
      <c r="M26" s="2" t="n">
        <v>528</v>
      </c>
      <c r="N26" s="2" t="inlineStr">
        <is>
          <t>hirajoshi</t>
        </is>
      </c>
      <c r="O26" s="2" t="inlineStr">
        <is>
          <t>medio</t>
        </is>
      </c>
      <c r="P26" s="2" t="n">
        <v>454078</v>
      </c>
      <c r="Q26" s="2" t="n">
        <v>60</v>
      </c>
      <c r="R26" s="3" t="inlineStr">
        <is>
          <t>python3 03-composicion/compositor.py --minutos 60 --raiz 528 --modo hirajoshi --semilla 454078 --caracter sin-cuenco</t>
        </is>
      </c>
      <c r="S26" s="2" t="inlineStr">
        <is>
          <t>python3 03-composicion/capas.py aves 3640 audio/OBRA-025_capa.wav --semilla 454078 &amp;&amp; python3 03-composicion/ambiente.py audio/OBRA-025_528_hirajoshi.wav audio/OBRA-025_final.wav --fondo mar --nivel-capa -4 --capa audio/OBRA-025_capa.wav</t>
        </is>
      </c>
      <c r="T26" s="4" t="inlineStr">
        <is>
          <t>pendiente</t>
        </is>
      </c>
      <c r="U26" s="4" t="inlineStr"/>
      <c r="V26" s="4" t="inlineStr"/>
      <c r="W26" s="4" t="inlineStr"/>
      <c r="X26" s="5">
        <f>IFERROR(W26/V26*1000,"")</f>
        <v/>
      </c>
    </row>
    <row r="27" ht="58" customHeight="1">
      <c r="A27" s="2" t="inlineStr">
        <is>
          <t>OBRA-026</t>
        </is>
      </c>
      <c r="B27" s="3" t="inlineStr">
        <is>
          <t>Music to Release Tension · Ocean Waves · 432 Hz · Still Water · 1 Hour</t>
        </is>
      </c>
      <c r="C27" s="2" t="inlineStr">
        <is>
          <t>Música para soltar tensión · Olas del mar · 432 Hz · Agua quieta · 1 hora</t>
        </is>
      </c>
      <c r="D27" s="2" t="inlineStr">
        <is>
          <t>Soltar</t>
        </is>
      </c>
      <c r="E27" s="2" t="inlineStr">
        <is>
          <t>mar</t>
        </is>
      </c>
      <c r="F27" s="3" t="inlineStr">
        <is>
          <t>Still Water · 1 Hour
To accompany some time to let go of the day's tension.
Ambience: ocean waves.
Composed around a root of 432 Hz, in just intonation, kumoi mode.
Breathing cycle: from 6.0 down to 4.5 breaths per minute, 40 % inhale / 60 % exhale.
Original composition, synthesized from scratch, ambience included. No third-party samples.
Chapters:
00:00 [fill in after editing]</t>
        </is>
      </c>
      <c r="G27" s="2" t="inlineStr">
        <is>
          <t>Agua quieta · 1 hora
Para acompañar un rato de soltar la tensión del día.
Ambiente: olas del mar.
Compuesta con raíz en 432 Hz, en entonación justa, modo kumoi.
Ciclo respiratorio: de 6.0 a 4.5 respiraciones por minuto, inhalar 40 % / exhalar 60 %.
Composición original, sintetizada desde cero: el ambiente también. Ninguna muestra procede de terceros.
Capítulos:
00:00 [completar tras el montaje]</t>
        </is>
      </c>
      <c r="H27" s="2" t="inlineStr">
        <is>
          <t>432 HZ</t>
        </is>
      </c>
      <c r="I27" s="2" t="inlineStr">
        <is>
          <t>#RelaxingMusic #Meditation #432Hz</t>
        </is>
      </c>
      <c r="J27" s="3" t="inlineStr">
        <is>
          <t>432 hz, música 432 hz, música para soltar tensión, music to release tension, soltar, kumoi, música relajante, meditación, relajación, entonación justa, composición original, meditation music, relaxing music, sleep music, singing bowls, just intonation</t>
        </is>
      </c>
      <c r="K27" s="4" t="inlineStr"/>
      <c r="L27" s="4" t="inlineStr"/>
      <c r="M27" s="2" t="n">
        <v>432</v>
      </c>
      <c r="N27" s="2" t="inlineStr">
        <is>
          <t>kumoi</t>
        </is>
      </c>
      <c r="O27" s="2" t="inlineStr">
        <is>
          <t>medio</t>
        </is>
      </c>
      <c r="P27" s="2" t="n">
        <v>146597</v>
      </c>
      <c r="Q27" s="2" t="n">
        <v>60</v>
      </c>
      <c r="R27" s="3" t="inlineStr">
        <is>
          <t>python3 03-composicion/compositor.py --minutos 60 --raiz 432 --modo kumoi --semilla 146597 --caracter sin-cuenco</t>
        </is>
      </c>
      <c r="S27" s="2" t="inlineStr">
        <is>
          <t>python3 03-composicion/ambiente.py audio/OBRA-026_432_kumoi.wav audio/OBRA-026_final.wav --fondo mar</t>
        </is>
      </c>
      <c r="T27" s="4" t="inlineStr">
        <is>
          <t>pendiente</t>
        </is>
      </c>
      <c r="U27" s="4" t="inlineStr"/>
      <c r="V27" s="4" t="inlineStr"/>
      <c r="W27" s="4" t="inlineStr"/>
      <c r="X27" s="5">
        <f>IFERROR(W27/V27*1000,"")</f>
        <v/>
      </c>
    </row>
    <row r="28" ht="58" customHeight="1">
      <c r="A28" s="2" t="inlineStr">
        <is>
          <t>OBRA-027</t>
        </is>
      </c>
      <c r="B28" s="3" t="inlineStr">
        <is>
          <t>Music to Release Tension · Rain on Leaves · 396 Hz · Warm Ash · 1 Hour</t>
        </is>
      </c>
      <c r="C28" s="2" t="inlineStr">
        <is>
          <t>Música para soltar tensión · Lluvia sobre hojas · 396 Hz · Ceniza tibia · 1 hora</t>
        </is>
      </c>
      <c r="D28" s="2" t="inlineStr">
        <is>
          <t>Soltar</t>
        </is>
      </c>
      <c r="E28" s="2" t="inlineStr">
        <is>
          <t>lluvia-tambor</t>
        </is>
      </c>
      <c r="F28" s="3" t="inlineStr">
        <is>
          <t>Warm Ash · 1 Hour
To accompany some time to let go of the day's tension.
Ambience: rain on leaves.
Composed around a root of 396 Hz, in just intonation, kumoi mode.
Breathing cycle: from 6.0 down to 4.5 breaths per minute, 40 % inhale / 60 % exhale.
Original composition, synthesized from scratch, ambience included. No third-party samples.
Chapters:
00:00 [fill in after editing]</t>
        </is>
      </c>
      <c r="G28" s="2" t="inlineStr">
        <is>
          <t>Ceniza tibia · 1 hora
Para acompañar un rato de soltar la tensión del día.
Ambiente: lluvia sobre hojas.
Compuesta con raíz en 396 Hz, en entonación justa, modo kumoi.
Ciclo respiratorio: de 6.0 a 4.5 respiraciones por minuto, inhalar 40 % / exhalar 60 %.
Composición original, sintetizada desde cero: el ambiente también. Ninguna muestra procede de terceros.
Capítulos:
00:00 [completar tras el montaje]</t>
        </is>
      </c>
      <c r="H28" s="2" t="inlineStr">
        <is>
          <t>396 HZ</t>
        </is>
      </c>
      <c r="I28" s="2" t="inlineStr">
        <is>
          <t>#RelaxingMusic #Meditation #396Hz</t>
        </is>
      </c>
      <c r="J28" s="3" t="inlineStr">
        <is>
          <t>396 hz, música 396 hz, música para soltar tensión, music to release tension, soltar, kumoi, música relajante, meditación, relajación, entonación justa, composición original, meditation music, relaxing music, sleep music, singing bowls, just intonation</t>
        </is>
      </c>
      <c r="K28" s="4" t="inlineStr"/>
      <c r="L28" s="4" t="inlineStr"/>
      <c r="M28" s="2" t="n">
        <v>396</v>
      </c>
      <c r="N28" s="2" t="inlineStr">
        <is>
          <t>kumoi</t>
        </is>
      </c>
      <c r="O28" s="2" t="inlineStr">
        <is>
          <t>medio</t>
        </is>
      </c>
      <c r="P28" s="2" t="n">
        <v>338018</v>
      </c>
      <c r="Q28" s="2" t="n">
        <v>60</v>
      </c>
      <c r="R28" s="3" t="inlineStr">
        <is>
          <t>python3 03-composicion/compositor.py --minutos 60 --raiz 396 --modo kumoi --semilla 338018 --caracter sin-cuenco</t>
        </is>
      </c>
      <c r="S28" s="2" t="inlineStr">
        <is>
          <t>python3 03-composicion/capas.py ancestral 3640 audio/OBRA-027_capa.wav --semilla 338018 &amp;&amp; python3 03-composicion/ambiente.py audio/OBRA-027_396_kumoi.wav audio/OBRA-027_final.wav --fondo fuego --nivel-capa 0 --nivel-obra -20 --capa audio/OBRA-027_capa.wav</t>
        </is>
      </c>
      <c r="T28" s="4" t="inlineStr">
        <is>
          <t>pendiente</t>
        </is>
      </c>
      <c r="U28" s="4" t="inlineStr"/>
      <c r="V28" s="4" t="inlineStr"/>
      <c r="W28" s="4" t="inlineStr"/>
      <c r="X28" s="5">
        <f>IFERROR(W28/V28*1000,"")</f>
        <v/>
      </c>
    </row>
    <row r="29" ht="58" customHeight="1">
      <c r="A29" s="2" t="inlineStr">
        <is>
          <t>OBRA-028</t>
        </is>
      </c>
      <c r="B29" s="3" t="inlineStr">
        <is>
          <t>Music to Release Tension · Zen Temple · 417 Hz · Low Door · 45 Minutes</t>
        </is>
      </c>
      <c r="C29" s="2" t="inlineStr">
        <is>
          <t>Música para soltar tensión · Templo zen · 417 Hz · Puerta baja · 45 minutos</t>
        </is>
      </c>
      <c r="D29" s="2" t="inlineStr">
        <is>
          <t>Soltar</t>
        </is>
      </c>
      <c r="E29" s="2" t="inlineStr">
        <is>
          <t>zen</t>
        </is>
      </c>
      <c r="F29" s="3" t="inlineStr">
        <is>
          <t>Low Door · 45 Minutes
To accompany some time to let go of the day's tension.
Ambience: zen temple.
Composed around a root of 417 Hz, in just intonation, hirajoshi mode.
Breathing cycle: from 6.0 down to 4.5 breaths per minute, 40 % inhale / 60 % exhale.
Original composition, synthesized from scratch, ambience included. No third-party samples.
Chapters:
00:00 [fill in after editing]</t>
        </is>
      </c>
      <c r="G29" s="2" t="inlineStr">
        <is>
          <t>Puerta baja · 45 minutos
Para acompañar un rato de soltar la tensión del día.
Ambiente: templo zen.
Compuesta con raíz en 417 Hz, en entonación justa, modo hirajoshi.
Ciclo respiratorio: de 6.0 a 4.5 respiraciones por minuto, inhalar 40 % / exhalar 60 %.
Composición original, sintetizada desde cero: el ambiente también. Ninguna muestra procede de terceros.
Capítulos:
00:00 [completar tras el montaje]</t>
        </is>
      </c>
      <c r="H29" s="2" t="inlineStr">
        <is>
          <t>417 HZ</t>
        </is>
      </c>
      <c r="I29" s="2" t="inlineStr">
        <is>
          <t>#RelaxingMusic #Meditation #417Hz</t>
        </is>
      </c>
      <c r="J29" s="3" t="inlineStr">
        <is>
          <t>417 hz, música 417 hz, música para soltar tensión, music to release tension, soltar, hirajoshi, música relajante, meditación, relajación, entonación justa, composición original, meditation music, relaxing music, sleep music, singing bowls, just intonation</t>
        </is>
      </c>
      <c r="K29" s="4" t="inlineStr"/>
      <c r="L29" s="4" t="inlineStr"/>
      <c r="M29" s="2" t="n">
        <v>417</v>
      </c>
      <c r="N29" s="2" t="inlineStr">
        <is>
          <t>hirajoshi</t>
        </is>
      </c>
      <c r="O29" s="2" t="inlineStr">
        <is>
          <t>medio</t>
        </is>
      </c>
      <c r="P29" s="2" t="n">
        <v>409966</v>
      </c>
      <c r="Q29" s="2" t="n">
        <v>45</v>
      </c>
      <c r="R29" s="3" t="inlineStr">
        <is>
          <t>python3 03-composicion/compositor.py --minutos 45 --raiz 417 --modo hirajoshi --semilla 409966 --caracter sin-cuenco</t>
        </is>
      </c>
      <c r="S29" s="2" t="inlineStr">
        <is>
          <t>python3 03-composicion/capas.py zen 2740 audio/OBRA-028_capa.wav --semilla 409966 --densidad 1.4 &amp;&amp; python3 03-composicion/ambiente.py audio/OBRA-028_417_hirajoshi.wav audio/OBRA-028_final.wav --fondo mar --nivel-fondo -7 --nivel-capa 2 --capa audio/OBRA-028_capa.wav</t>
        </is>
      </c>
      <c r="T29" s="4" t="inlineStr">
        <is>
          <t>pendiente</t>
        </is>
      </c>
      <c r="U29" s="4" t="inlineStr"/>
      <c r="V29" s="4" t="inlineStr"/>
      <c r="W29" s="4" t="inlineStr"/>
      <c r="X29" s="5">
        <f>IFERROR(W29/V29*1000,"")</f>
        <v/>
      </c>
    </row>
    <row r="30" ht="58" customHeight="1">
      <c r="A30" s="2" t="inlineStr">
        <is>
          <t>OBRA-029</t>
        </is>
      </c>
      <c r="B30" s="3" t="inlineStr">
        <is>
          <t>Music to Release Tension · Tropical Rainforest · 639 Hz · Open Field · 1 Hour</t>
        </is>
      </c>
      <c r="C30" s="2" t="inlineStr">
        <is>
          <t>Música para soltar tensión · Selva tropical · 639 Hz · Campo abierto · 1 hora</t>
        </is>
      </c>
      <c r="D30" s="2" t="inlineStr">
        <is>
          <t>Soltar</t>
        </is>
      </c>
      <c r="E30" s="2" t="inlineStr">
        <is>
          <t>selva</t>
        </is>
      </c>
      <c r="F30" s="3" t="inlineStr">
        <is>
          <t>Open Field · 1 Hour
To accompany some time to let go of the day's tension.
Ambience: tropical rainforest.
Composed around a root of 639 Hz, in just intonation, yo mode.
Breathing cycle: from 6.0 down to 4.5 breaths per minute, 40 % inhale / 60 % exhale.
Original composition, synthesized from scratch, ambience included. No third-party samples.
Chapters:
00:00 [fill in after editing]</t>
        </is>
      </c>
      <c r="G30" s="2" t="inlineStr">
        <is>
          <t>Campo abierto · 1 hora
Para acompañar un rato de soltar la tensión del día.
Ambiente: selva tropical.
Compuesta con raíz en 639 Hz, en entonación justa, modo yo.
Ciclo respiratorio: de 6.0 a 4.5 respiraciones por minuto, inhalar 40 % / exhalar 60 %.
Composición original, sintetizada desde cero: el ambiente también. Ninguna muestra procede de terceros.
Capítulos:
00:00 [completar tras el montaje]</t>
        </is>
      </c>
      <c r="H30" s="2" t="inlineStr">
        <is>
          <t>639 HZ</t>
        </is>
      </c>
      <c r="I30" s="2" t="inlineStr">
        <is>
          <t>#RelaxingMusic #Meditation #639Hz</t>
        </is>
      </c>
      <c r="J30" s="3" t="inlineStr">
        <is>
          <t>639 hz, música 639 hz, música para soltar tensión, music to release tension, soltar, yo, música relajante, meditación, relajación, entonación justa, composición original, meditation music, relaxing music, sleep music, singing bowls, just intonation</t>
        </is>
      </c>
      <c r="K30" s="4" t="inlineStr"/>
      <c r="L30" s="4" t="inlineStr"/>
      <c r="M30" s="2" t="n">
        <v>639</v>
      </c>
      <c r="N30" s="2" t="inlineStr">
        <is>
          <t>yo</t>
        </is>
      </c>
      <c r="O30" s="2" t="inlineStr">
        <is>
          <t>medio</t>
        </is>
      </c>
      <c r="P30" s="2" t="n">
        <v>133046</v>
      </c>
      <c r="Q30" s="2" t="n">
        <v>60</v>
      </c>
      <c r="R30" s="3" t="inlineStr">
        <is>
          <t>python3 03-composicion/compositor.py --minutos 60 --raiz 639 --modo yo --semilla 133046 --caracter sin-cuenco</t>
        </is>
      </c>
      <c r="S30" s="2" t="inlineStr">
        <is>
          <t>python3 03-composicion/capas.py aves 3640 audio/OBRA-029_capa.wav --semilla 133046 --densidad 2 &amp;&amp; python3 03-composicion/ambiente.py audio/OBRA-029_639_yo.wav audio/OBRA-029_final.wav --fondo selva --nivel-capa -2 --capa audio/OBRA-029_capa.wav</t>
        </is>
      </c>
      <c r="T30" s="4" t="inlineStr">
        <is>
          <t>pendiente</t>
        </is>
      </c>
      <c r="U30" s="4" t="inlineStr"/>
      <c r="V30" s="4" t="inlineStr"/>
      <c r="W30" s="4" t="inlineStr"/>
      <c r="X30" s="5">
        <f>IFERROR(W30/V30*1000,"")</f>
        <v/>
      </c>
    </row>
    <row r="31" ht="58" customHeight="1">
      <c r="A31" s="2" t="inlineStr">
        <is>
          <t>OBRA-030</t>
        </is>
      </c>
      <c r="B31" s="3" t="inlineStr">
        <is>
          <t>Music to Release Tension · Ocean and Birds · 741 Hz · Thin Air · 45 Minutes</t>
        </is>
      </c>
      <c r="C31" s="2" t="inlineStr">
        <is>
          <t>Música para soltar tensión · Mar y pájaros · 741 Hz · Aire delgado · 45 minutos</t>
        </is>
      </c>
      <c r="D31" s="2" t="inlineStr">
        <is>
          <t>Soltar</t>
        </is>
      </c>
      <c r="E31" s="2" t="inlineStr">
        <is>
          <t>mar-aves</t>
        </is>
      </c>
      <c r="F31" s="3" t="inlineStr">
        <is>
          <t>Thin Air · 45 Minutes
To accompany some time to let go of the day's tension.
Ambience: ocean and birds.
Composed around a root of 741 Hz, in just intonation, yo mode.
Breathing cycle: from 6.0 down to 4.5 breaths per minute, 40 % inhale / 60 % exhale.
Original composition, synthesized from scratch, ambience included. No third-party samples.
Chapters:
00:00 [fill in after editing]</t>
        </is>
      </c>
      <c r="G31" s="2" t="inlineStr">
        <is>
          <t>Aire delgado · 45 minutos
Para acompañar un rato de soltar la tensión del día.
Ambiente: mar y pájaros.
Compuesta con raíz en 741 Hz, en entonación justa, modo yo.
Ciclo respiratorio: de 6.0 a 4.5 respiraciones por minuto, inhalar 40 % / exhalar 60 %.
Composición original, sintetizada desde cero: el ambiente también. Ninguna muestra procede de terceros.
Capítulos:
00:00 [completar tras el montaje]</t>
        </is>
      </c>
      <c r="H31" s="2" t="inlineStr">
        <is>
          <t>741 HZ</t>
        </is>
      </c>
      <c r="I31" s="2" t="inlineStr">
        <is>
          <t>#RelaxingMusic #Meditation #741Hz</t>
        </is>
      </c>
      <c r="J31" s="3" t="inlineStr">
        <is>
          <t>741 hz, música 741 hz, música para soltar tensión, music to release tension, soltar, yo, música relajante, meditación, relajación, entonación justa, composición original, meditation music, relaxing music, sleep music, singing bowls, just intonation</t>
        </is>
      </c>
      <c r="K31" s="4" t="inlineStr"/>
      <c r="L31" s="4" t="inlineStr"/>
      <c r="M31" s="2" t="n">
        <v>741</v>
      </c>
      <c r="N31" s="2" t="inlineStr">
        <is>
          <t>yo</t>
        </is>
      </c>
      <c r="O31" s="2" t="inlineStr">
        <is>
          <t>medio</t>
        </is>
      </c>
      <c r="P31" s="2" t="n">
        <v>244487</v>
      </c>
      <c r="Q31" s="2" t="n">
        <v>45</v>
      </c>
      <c r="R31" s="3" t="inlineStr">
        <is>
          <t>python3 03-composicion/compositor.py --minutos 45 --raiz 741 --modo yo --semilla 244487 --caracter sin-cuenco</t>
        </is>
      </c>
      <c r="S31" s="2" t="inlineStr">
        <is>
          <t>python3 03-composicion/capas.py aves 2740 audio/OBRA-030_capa.wav --semilla 244487 &amp;&amp; python3 03-composicion/ambiente.py audio/OBRA-030_741_yo.wav audio/OBRA-030_final.wav --fondo mar --nivel-capa -4 --capa audio/OBRA-030_capa.wav</t>
        </is>
      </c>
      <c r="T31" s="4" t="inlineStr">
        <is>
          <t>pendiente</t>
        </is>
      </c>
      <c r="U31" s="4" t="inlineStr"/>
      <c r="V31" s="4" t="inlineStr"/>
      <c r="W31" s="4" t="inlineStr"/>
      <c r="X31" s="5">
        <f>IFERROR(W31/V31*1000,"")</f>
        <v/>
      </c>
    </row>
    <row r="32" ht="58" customHeight="1">
      <c r="A32" s="2" t="inlineStr">
        <is>
          <t>OBRA-031</t>
        </is>
      </c>
      <c r="B32" s="3" t="inlineStr">
        <is>
          <t>Music to Release Tension · Zen Temple · 852 Hz · Last Light · 45 Minutes</t>
        </is>
      </c>
      <c r="C32" s="2" t="inlineStr">
        <is>
          <t>Música para soltar tensión · Templo zen · 852 Hz · Última luz · 45 minutos</t>
        </is>
      </c>
      <c r="D32" s="2" t="inlineStr">
        <is>
          <t>Soltar</t>
        </is>
      </c>
      <c r="E32" s="2" t="inlineStr">
        <is>
          <t>zen</t>
        </is>
      </c>
      <c r="F32" s="3" t="inlineStr">
        <is>
          <t>Last Light · 45 Minutes
To accompany some time to let go of the day's tension.
Ambience: zen temple.
Composed around a root of 852 Hz, in just intonation, hirajoshi mode.
Breathing cycle: from 6.0 down to 4.5 breaths per minute, 40 % inhale / 60 % exhale.
Original composition, synthesized from scratch, ambience included. No third-party samples.
Chapters:
00:00 [fill in after editing]</t>
        </is>
      </c>
      <c r="G32" s="2" t="inlineStr">
        <is>
          <t>Última luz · 45 minutos
Para acompañar un rato de soltar la tensión del día.
Ambiente: templo zen.
Compuesta con raíz en 852 Hz, en entonación justa, modo hirajoshi.
Ciclo respiratorio: de 6.0 a 4.5 respiraciones por minuto, inhalar 40 % / exhalar 60 %.
Composición original, sintetizada desde cero: el ambiente también. Ninguna muestra procede de terceros.
Capítulos:
00:00 [completar tras el montaje]</t>
        </is>
      </c>
      <c r="H32" s="2" t="inlineStr">
        <is>
          <t>852 HZ</t>
        </is>
      </c>
      <c r="I32" s="2" t="inlineStr">
        <is>
          <t>#RelaxingMusic #Meditation #852Hz</t>
        </is>
      </c>
      <c r="J32" s="3" t="inlineStr">
        <is>
          <t>852 hz, música 852 hz, música para soltar tensión, music to release tension, soltar, hirajoshi, música relajante, meditación, relajación, entonación justa, composición original, meditation music, relaxing music, sleep music, singing bowls, just intonation</t>
        </is>
      </c>
      <c r="K32" s="4" t="inlineStr"/>
      <c r="L32" s="4" t="inlineStr"/>
      <c r="M32" s="2" t="n">
        <v>852</v>
      </c>
      <c r="N32" s="2" t="inlineStr">
        <is>
          <t>hirajoshi</t>
        </is>
      </c>
      <c r="O32" s="2" t="inlineStr">
        <is>
          <t>medio</t>
        </is>
      </c>
      <c r="P32" s="2" t="n">
        <v>288169</v>
      </c>
      <c r="Q32" s="2" t="n">
        <v>45</v>
      </c>
      <c r="R32" s="3" t="inlineStr">
        <is>
          <t>python3 03-composicion/compositor.py --minutos 45 --raiz 852 --modo hirajoshi --semilla 288169 --caracter sin-cuenco</t>
        </is>
      </c>
      <c r="S32" s="2" t="inlineStr">
        <is>
          <t>python3 03-composicion/capas.py zen 2740 audio/OBRA-031_capa.wav --semilla 288169 --densidad 1.4 &amp;&amp; python3 03-composicion/ambiente.py audio/OBRA-031_852_hirajoshi.wav audio/OBRA-031_final.wav --fondo mar --nivel-fondo -7 --nivel-capa 2 --capa audio/OBRA-031_capa.wav</t>
        </is>
      </c>
      <c r="T32" s="4" t="inlineStr">
        <is>
          <t>pendiente</t>
        </is>
      </c>
      <c r="U32" s="4" t="inlineStr"/>
      <c r="V32" s="4" t="inlineStr"/>
      <c r="W32" s="4" t="inlineStr"/>
      <c r="X32" s="5">
        <f>IFERROR(W32/V32*1000,"")</f>
        <v/>
      </c>
    </row>
    <row r="33" ht="58" customHeight="1">
      <c r="A33" s="2" t="inlineStr">
        <is>
          <t>OBRA-032</t>
        </is>
      </c>
      <c r="B33" s="3" t="inlineStr">
        <is>
          <t>Music to Release Tension · Ocean and Birds · 528 Hz · Salt Root, Long · 3 Hours</t>
        </is>
      </c>
      <c r="C33" s="2" t="inlineStr">
        <is>
          <t>Música para soltar tensión · Mar y pájaros · 528 Hz · Raíz de sal, larga · 3 horas</t>
        </is>
      </c>
      <c r="D33" s="2" t="inlineStr">
        <is>
          <t>Soltar</t>
        </is>
      </c>
      <c r="E33" s="2" t="inlineStr">
        <is>
          <t>mar-aves</t>
        </is>
      </c>
      <c r="F33" s="3" t="inlineStr">
        <is>
          <t>Salt Root, Long · 3 Hours
To accompany some time to let go of the day's tension.
Ambience: ocean and birds.
Composed around a root of 528 Hz, in just intonation, hirajoshi mode.
Breathing cycle: from 6.0 down to 4.5 breaths per minute, 40 % inhale / 60 % exhale.
Original composition, synthesized from scratch, ambience included. No third-party samples.
Chapters:
00:00 [fill in after editing]</t>
        </is>
      </c>
      <c r="G33" s="2" t="inlineStr">
        <is>
          <t>Raíz de sal, larga · 3 horas
Para acompañar un rato de soltar la tensión del día.
Ambiente: mar y pájaros.
Compuesta con raíz en 528 Hz, en entonación justa, modo hirajoshi.
Ciclo respiratorio: de 6.0 a 4.5 respiraciones por minuto, inhalar 40 % / exhalar 60 %.
Composición original, sintetizada desde cero: el ambiente también. Ninguna muestra procede de terceros.
Capítulos:
00:00 [completar tras el montaje]</t>
        </is>
      </c>
      <c r="H33" s="2" t="inlineStr">
        <is>
          <t>528 HZ</t>
        </is>
      </c>
      <c r="I33" s="2" t="inlineStr">
        <is>
          <t>#RelaxingMusic #Meditation #528Hz</t>
        </is>
      </c>
      <c r="J33" s="3" t="inlineStr">
        <is>
          <t>528 hz, música 528 hz, música para soltar tensión, music to release tension, soltar, hirajoshi, música relajante, meditación, relajación, entonación justa, composición original, meditation music, relaxing music, sleep music, singing bowls, just intonation</t>
        </is>
      </c>
      <c r="K33" s="4" t="inlineStr"/>
      <c r="L33" s="4" t="inlineStr"/>
      <c r="M33" s="2" t="n">
        <v>528</v>
      </c>
      <c r="N33" s="2" t="inlineStr">
        <is>
          <t>hirajoshi</t>
        </is>
      </c>
      <c r="O33" s="2" t="inlineStr">
        <is>
          <t>medio</t>
        </is>
      </c>
      <c r="P33" s="2" t="n">
        <v>638156</v>
      </c>
      <c r="Q33" s="2" t="n">
        <v>180</v>
      </c>
      <c r="R33" s="3" t="inlineStr">
        <is>
          <t>python3 03-composicion/compositor.py --minutos 180 --raiz 528 --modo hirajoshi --semilla 638156 --caracter sin-cuenco</t>
        </is>
      </c>
      <c r="S33" s="2" t="inlineStr">
        <is>
          <t>python3 03-composicion/capas.py aves 10840 audio/OBRA-032_capa.wav --semilla 638156 &amp;&amp; python3 03-composicion/ambiente.py audio/OBRA-032_528_hirajoshi.wav audio/OBRA-032_final.wav --fondo mar --nivel-capa -4 --capa audio/OBRA-032_capa.wav</t>
        </is>
      </c>
      <c r="T33" s="4" t="inlineStr">
        <is>
          <t>pendiente</t>
        </is>
      </c>
      <c r="U33" s="4" t="inlineStr"/>
      <c r="V33" s="4" t="inlineStr"/>
      <c r="W33" s="4" t="inlineStr"/>
      <c r="X33" s="5">
        <f>IFERROR(W33/V33*1000,"")</f>
        <v/>
      </c>
    </row>
    <row r="34" ht="58" customHeight="1">
      <c r="A34" s="2" t="inlineStr">
        <is>
          <t>OBRA-033</t>
        </is>
      </c>
      <c r="B34" s="3" t="inlineStr">
        <is>
          <t>Focus Music · Tropical Rainforest · 639 Hz · Clean Desk · 2 Hours</t>
        </is>
      </c>
      <c r="C34" s="2" t="inlineStr">
        <is>
          <t>Música para concentrarse · Selva tropical · 639 Hz · Mesa limpia · 2 horas</t>
        </is>
      </c>
      <c r="D34" s="2" t="inlineStr">
        <is>
          <t>Concentración</t>
        </is>
      </c>
      <c r="E34" s="2" t="inlineStr">
        <is>
          <t>selva</t>
        </is>
      </c>
      <c r="F34" s="3" t="inlineStr">
        <is>
          <t>Clean Desk · 2 Hours
To accompany work or study.
Ambience: tropical rainforest.
Composed around a root of 319.5 Hz, the low octave of 639 Hz, in just intonation, yo mode.
Breathing cycle: from 6.0 down to 5.5 breaths per minute, 40 % inhale / 60 % exhale.
Original composition, synthesized from scratch, ambience included. No third-party samples.
Chapters:
00:00 [fill in after editing]</t>
        </is>
      </c>
      <c r="G34" s="2" t="inlineStr">
        <is>
          <t>Mesa limpia · 2 horas
Para acompañar el trabajo o el estudio.
Ambiente: selva tropical.
Compuesta con raíz en 319.5 Hz, la octava grave de 639 Hz, en entonación justa, modo yo.
Ciclo respiratorio: de 6.0 a 5.5 respiraciones por minuto, inhalar 40 % / exhalar 60 %.
Composición original, sintetizada desde cero: el ambiente también. Ninguna muestra procede de terceros.
Capítulos:
00:00 [completar tras el montaje]</t>
        </is>
      </c>
      <c r="H34" s="2" t="inlineStr">
        <is>
          <t>2 HOURS</t>
        </is>
      </c>
      <c r="I34" s="2" t="inlineStr">
        <is>
          <t>#FocusMusic #Meditation #639Hz</t>
        </is>
      </c>
      <c r="J34" s="3" t="inlineStr">
        <is>
          <t>639 hz, música 639 hz, música para concentrarse, focus music, concentración, yo, música relajante, meditación, relajación, entonación justa, composición original, meditation music, relaxing music, sleep music, singing bowls, just intonation</t>
        </is>
      </c>
      <c r="K34" s="4" t="inlineStr"/>
      <c r="L34" s="4" t="inlineStr"/>
      <c r="M34" s="2" t="n">
        <v>639</v>
      </c>
      <c r="N34" s="2" t="inlineStr">
        <is>
          <t>yo</t>
        </is>
      </c>
      <c r="O34" s="2" t="inlineStr">
        <is>
          <t>grave</t>
        </is>
      </c>
      <c r="P34" s="2" t="n">
        <v>112334</v>
      </c>
      <c r="Q34" s="2" t="n">
        <v>120</v>
      </c>
      <c r="R34" s="3" t="inlineStr">
        <is>
          <t>python3 03-composicion/compositor.py --minutos 120 --raiz 639 --modo yo --semilla 112334 --caracter sin-cuenco --registro grave</t>
        </is>
      </c>
      <c r="S34" s="2" t="inlineStr">
        <is>
          <t>python3 03-composicion/capas.py aves 7240 audio/OBRA-033_capa.wav --semilla 112334 --densidad 2 &amp;&amp; python3 03-composicion/ambiente.py audio/OBRA-033_639_yo.wav audio/OBRA-033_final.wav --fondo selva --nivel-capa -2 --capa audio/OBRA-033_capa.wav</t>
        </is>
      </c>
      <c r="T34" s="4" t="inlineStr">
        <is>
          <t>pendiente</t>
        </is>
      </c>
      <c r="U34" s="4" t="inlineStr"/>
      <c r="V34" s="4" t="inlineStr"/>
      <c r="W34" s="4" t="inlineStr"/>
      <c r="X34" s="5">
        <f>IFERROR(W34/V34*1000,"")</f>
        <v/>
      </c>
    </row>
    <row r="35" ht="58" customHeight="1">
      <c r="A35" s="2" t="inlineStr">
        <is>
          <t>OBRA-034</t>
        </is>
      </c>
      <c r="B35" s="3" t="inlineStr">
        <is>
          <t>Focus Music · Ocean and Birds · 528 Hz · Deep Work · 3 Hours</t>
        </is>
      </c>
      <c r="C35" s="2" t="inlineStr">
        <is>
          <t>Música para concentrarse · Mar y pájaros · 528 Hz · Trabajo profundo · 3 horas</t>
        </is>
      </c>
      <c r="D35" s="2" t="inlineStr">
        <is>
          <t>Concentración</t>
        </is>
      </c>
      <c r="E35" s="2" t="inlineStr">
        <is>
          <t>mar-aves</t>
        </is>
      </c>
      <c r="F35" s="3" t="inlineStr">
        <is>
          <t>Deep Work · 3 Hours
To accompany work or study.
Ambience: ocean and birds.
Composed around a root of 264 Hz, the low octave of 528 Hz, in just intonation, yo mode.
Breathing cycle: from 6.0 down to 5.5 breaths per minute, 40 % inhale / 60 % exhale.
Original composition, synthesized from scratch, ambience included. No third-party samples.
Chapters:
00:00 [fill in after editing]</t>
        </is>
      </c>
      <c r="G35" s="2" t="inlineStr">
        <is>
          <t>Trabajo profundo · 3 horas
Para acompañar el trabajo o el estudio.
Ambiente: mar y pájaros.
Compuesta con raíz en 264 Hz, la octava grave de 528 Hz, en entonación justa, modo yo.
Ciclo respiratorio: de 6.0 a 5.5 respiraciones por minuto, inhalar 40 % / exhalar 60 %.
Composición original, sintetizada desde cero: el ambiente también. Ninguna muestra procede de terceros.
Capítulos:
00:00 [completar tras el montaje]</t>
        </is>
      </c>
      <c r="H35" s="2" t="inlineStr">
        <is>
          <t>3 HOURS</t>
        </is>
      </c>
      <c r="I35" s="2" t="inlineStr">
        <is>
          <t>#FocusMusic #Meditation #528Hz</t>
        </is>
      </c>
      <c r="J35" s="3" t="inlineStr">
        <is>
          <t>528 hz, música 528 hz, música para concentrarse, focus music, concentración, yo, música relajante, meditación, relajación, entonación justa, composición original, meditation music, relaxing music, sleep music, singing bowls, just intonation</t>
        </is>
      </c>
      <c r="K35" s="4" t="inlineStr"/>
      <c r="L35" s="4" t="inlineStr"/>
      <c r="M35" s="2" t="n">
        <v>528</v>
      </c>
      <c r="N35" s="2" t="inlineStr">
        <is>
          <t>yo</t>
        </is>
      </c>
      <c r="O35" s="2" t="inlineStr">
        <is>
          <t>grave</t>
        </is>
      </c>
      <c r="P35" s="2" t="n">
        <v>249239</v>
      </c>
      <c r="Q35" s="2" t="n">
        <v>180</v>
      </c>
      <c r="R35" s="3" t="inlineStr">
        <is>
          <t>python3 03-composicion/compositor.py --minutos 180 --raiz 528 --modo yo --semilla 249239 --caracter sin-cuenco --registro grave</t>
        </is>
      </c>
      <c r="S35" s="2" t="inlineStr">
        <is>
          <t>python3 03-composicion/capas.py aves 10840 audio/OBRA-034_capa.wav --semilla 249239 &amp;&amp; python3 03-composicion/ambiente.py audio/OBRA-034_528_yo.wav audio/OBRA-034_final.wav --fondo mar --nivel-capa -4 --capa audio/OBRA-034_capa.wav</t>
        </is>
      </c>
      <c r="T35" s="4" t="inlineStr">
        <is>
          <t>pendiente</t>
        </is>
      </c>
      <c r="U35" s="4" t="inlineStr"/>
      <c r="V35" s="4" t="inlineStr"/>
      <c r="W35" s="4" t="inlineStr"/>
      <c r="X35" s="5">
        <f>IFERROR(W35/V35*1000,"")</f>
        <v/>
      </c>
    </row>
    <row r="36" ht="58" customHeight="1">
      <c r="A36" s="2" t="inlineStr">
        <is>
          <t>OBRA-035</t>
        </is>
      </c>
      <c r="B36" s="3" t="inlineStr">
        <is>
          <t>Focus Music · Tropical Rainforest · 741 Hz · No Interruptions · 2 Hours</t>
        </is>
      </c>
      <c r="C36" s="2" t="inlineStr">
        <is>
          <t>Música para concentrarse · Selva tropical · 741 Hz · Sin interrupciones · 2 horas</t>
        </is>
      </c>
      <c r="D36" s="2" t="inlineStr">
        <is>
          <t>Concentración</t>
        </is>
      </c>
      <c r="E36" s="2" t="inlineStr">
        <is>
          <t>selva</t>
        </is>
      </c>
      <c r="F36" s="3" t="inlineStr">
        <is>
          <t>No Interruptions · 2 Hours
To accompany work or study.
Ambience: tropical rainforest.
Composed around a root of 370.5 Hz, the low octave of 741 Hz, in just intonation, yo mode.
Breathing cycle: from 6.0 down to 5.5 breaths per minute, 40 % inhale / 60 % exhale.
Original composition, synthesized from scratch, ambience included. No third-party samples.
Chapters:
00:00 [fill in after editing]</t>
        </is>
      </c>
      <c r="G36" s="2" t="inlineStr">
        <is>
          <t>Sin interrupciones · 2 horas
Para acompañar el trabajo o el estudio.
Ambiente: selva tropical.
Compuesta con raíz en 370.5 Hz, la octava grave de 741 Hz, en entonación justa, modo yo.
Ciclo respiratorio: de 6.0 a 5.5 respiraciones por minuto, inhalar 40 % / exhalar 60 %.
Composición original, sintetizada desde cero: el ambiente también. Ninguna muestra procede de terceros.
Capítulos:
00:00 [completar tras el montaje]</t>
        </is>
      </c>
      <c r="H36" s="2" t="inlineStr">
        <is>
          <t>2 HOURS</t>
        </is>
      </c>
      <c r="I36" s="2" t="inlineStr">
        <is>
          <t>#FocusMusic #Meditation #741Hz</t>
        </is>
      </c>
      <c r="J36" s="3" t="inlineStr">
        <is>
          <t>741 hz, música 741 hz, música para concentrarse, focus music, concentración, yo, música relajante, meditación, relajación, entonación justa, composición original, meditation music, relaxing music, sleep music, singing bowls, just intonation</t>
        </is>
      </c>
      <c r="K36" s="4" t="inlineStr"/>
      <c r="L36" s="4" t="inlineStr"/>
      <c r="M36" s="2" t="n">
        <v>741</v>
      </c>
      <c r="N36" s="2" t="inlineStr">
        <is>
          <t>yo</t>
        </is>
      </c>
      <c r="O36" s="2" t="inlineStr">
        <is>
          <t>grave</t>
        </is>
      </c>
      <c r="P36" s="2" t="n">
        <v>74636</v>
      </c>
      <c r="Q36" s="2" t="n">
        <v>120</v>
      </c>
      <c r="R36" s="3" t="inlineStr">
        <is>
          <t>python3 03-composicion/compositor.py --minutos 120 --raiz 741 --modo yo --semilla 74636 --caracter sin-cuenco --registro grave</t>
        </is>
      </c>
      <c r="S36" s="2" t="inlineStr">
        <is>
          <t>python3 03-composicion/capas.py aves 7240 audio/OBRA-035_capa.wav --semilla 74636 --densidad 2 &amp;&amp; python3 03-composicion/ambiente.py audio/OBRA-035_741_yo.wav audio/OBRA-035_final.wav --fondo selva --nivel-capa -2 --capa audio/OBRA-035_capa.wav</t>
        </is>
      </c>
      <c r="T36" s="4" t="inlineStr">
        <is>
          <t>pendiente</t>
        </is>
      </c>
      <c r="U36" s="4" t="inlineStr"/>
      <c r="V36" s="4" t="inlineStr"/>
      <c r="W36" s="4" t="inlineStr"/>
      <c r="X36" s="5">
        <f>IFERROR(W36/V36*1000,"")</f>
        <v/>
      </c>
    </row>
    <row r="37" ht="58" customHeight="1">
      <c r="A37" s="2" t="inlineStr">
        <is>
          <t>OBRA-036</t>
        </is>
      </c>
      <c r="B37" s="3" t="inlineStr">
        <is>
          <t>Focus Music · Ocean and Birds · 852 Hz · Morning Light · 90 Minutes</t>
        </is>
      </c>
      <c r="C37" s="2" t="inlineStr">
        <is>
          <t>Música para concentrarse · Mar y pájaros · 852 Hz · Luz de mañana · 90 minutos</t>
        </is>
      </c>
      <c r="D37" s="2" t="inlineStr">
        <is>
          <t>Concentración</t>
        </is>
      </c>
      <c r="E37" s="2" t="inlineStr">
        <is>
          <t>mar-aves</t>
        </is>
      </c>
      <c r="F37" s="3" t="inlineStr">
        <is>
          <t>Morning Light · 90 Minutes
To accompany work or study.
Ambience: ocean and birds.
Composed around a root of 426 Hz, the low octave of 852 Hz, in just intonation, yo mode.
Breathing cycle: from 6.0 down to 5.5 breaths per minute, 40 % inhale / 60 % exhale.
Original composition, synthesized from scratch, ambience included. No third-party samples.
Chapters:
00:00 [fill in after editing]</t>
        </is>
      </c>
      <c r="G37" s="2" t="inlineStr">
        <is>
          <t>Luz de mañana · 90 minutos
Para acompañar el trabajo o el estudio.
Ambiente: mar y pájaros.
Compuesta con raíz en 426 Hz, la octava grave de 852 Hz, en entonación justa, modo yo.
Ciclo respiratorio: de 6.0 a 5.5 respiraciones por minuto, inhalar 40 % / exhalar 60 %.
Composición original, sintetizada desde cero: el ambiente también. Ninguna muestra procede de terceros.
Capítulos:
00:00 [completar tras el montaje]</t>
        </is>
      </c>
      <c r="H37" s="2" t="inlineStr">
        <is>
          <t>90 MIN</t>
        </is>
      </c>
      <c r="I37" s="2" t="inlineStr">
        <is>
          <t>#FocusMusic #Meditation #852Hz</t>
        </is>
      </c>
      <c r="J37" s="3" t="inlineStr">
        <is>
          <t>852 hz, música 852 hz, música para concentrarse, focus music, concentración, yo, música relajante, meditación, relajación, entonación justa, composición original, meditation music, relaxing music, sleep music, singing bowls, just intonation</t>
        </is>
      </c>
      <c r="K37" s="4" t="inlineStr"/>
      <c r="L37" s="4" t="inlineStr"/>
      <c r="M37" s="2" t="n">
        <v>852</v>
      </c>
      <c r="N37" s="2" t="inlineStr">
        <is>
          <t>yo</t>
        </is>
      </c>
      <c r="O37" s="2" t="inlineStr">
        <is>
          <t>grave</t>
        </is>
      </c>
      <c r="P37" s="2" t="n">
        <v>903477</v>
      </c>
      <c r="Q37" s="2" t="n">
        <v>90</v>
      </c>
      <c r="R37" s="3" t="inlineStr">
        <is>
          <t>python3 03-composicion/compositor.py --minutos 90 --raiz 852 --modo yo --semilla 903477 --caracter sin-cuenco --registro grave</t>
        </is>
      </c>
      <c r="S37" s="2" t="inlineStr">
        <is>
          <t>python3 03-composicion/capas.py aves 5440 audio/OBRA-036_capa.wav --semilla 903477 &amp;&amp; python3 03-composicion/ambiente.py audio/OBRA-036_852_yo.wav audio/OBRA-036_final.wav --fondo mar --nivel-capa -4 --capa audio/OBRA-036_capa.wav</t>
        </is>
      </c>
      <c r="T37" s="4" t="inlineStr">
        <is>
          <t>pendiente</t>
        </is>
      </c>
      <c r="U37" s="4" t="inlineStr"/>
      <c r="V37" s="4" t="inlineStr"/>
      <c r="W37" s="4" t="inlineStr"/>
      <c r="X37" s="5">
        <f>IFERROR(W37/V37*1000,"")</f>
        <v/>
      </c>
    </row>
    <row r="38" ht="58" customHeight="1">
      <c r="A38" s="2" t="inlineStr">
        <is>
          <t>OBRA-037</t>
        </is>
      </c>
      <c r="B38" s="3" t="inlineStr">
        <is>
          <t>Focus Music · Tropical Rainforest · 432 Hz · Slow Work · 2 Hours</t>
        </is>
      </c>
      <c r="C38" s="2" t="inlineStr">
        <is>
          <t>Música para concentrarse · Selva tropical · 432 Hz · Trabajo lento · 2 horas</t>
        </is>
      </c>
      <c r="D38" s="2" t="inlineStr">
        <is>
          <t>Concentración</t>
        </is>
      </c>
      <c r="E38" s="2" t="inlineStr">
        <is>
          <t>selva</t>
        </is>
      </c>
      <c r="F38" s="3" t="inlineStr">
        <is>
          <t>Slow Work · 2 Hours
To accompany work or study.
Ambience: tropical rainforest.
Composed around a root of 216 Hz, the low octave of 432 Hz, in just intonation, yo mode.
Breathing cycle: from 6.0 down to 5.5 breaths per minute, 40 % inhale / 60 % exhale.
Original composition, synthesized from scratch, ambience included. No third-party samples.
Chapters:
00:00 [fill in after editing]</t>
        </is>
      </c>
      <c r="G38" s="2" t="inlineStr">
        <is>
          <t>Trabajo lento · 2 horas
Para acompañar el trabajo o el estudio.
Ambiente: selva tropical.
Compuesta con raíz en 216 Hz, la octava grave de 432 Hz, en entonación justa, modo yo.
Ciclo respiratorio: de 6.0 a 5.5 respiraciones por minuto, inhalar 40 % / exhalar 60 %.
Composición original, sintetizada desde cero: el ambiente también. Ninguna muestra procede de terceros.
Capítulos:
00:00 [completar tras el montaje]</t>
        </is>
      </c>
      <c r="H38" s="2" t="inlineStr">
        <is>
          <t>2 HOURS</t>
        </is>
      </c>
      <c r="I38" s="2" t="inlineStr">
        <is>
          <t>#FocusMusic #Meditation #432Hz</t>
        </is>
      </c>
      <c r="J38" s="3" t="inlineStr">
        <is>
          <t>432 hz, música 432 hz, música para concentrarse, focus music, concentración, yo, música relajante, meditación, relajación, entonación justa, composición original, meditation music, relaxing music, sleep music, singing bowls, just intonation</t>
        </is>
      </c>
      <c r="K38" s="4" t="inlineStr"/>
      <c r="L38" s="4" t="inlineStr"/>
      <c r="M38" s="2" t="n">
        <v>432</v>
      </c>
      <c r="N38" s="2" t="inlineStr">
        <is>
          <t>yo</t>
        </is>
      </c>
      <c r="O38" s="2" t="inlineStr">
        <is>
          <t>grave</t>
        </is>
      </c>
      <c r="P38" s="2" t="n">
        <v>718809</v>
      </c>
      <c r="Q38" s="2" t="n">
        <v>120</v>
      </c>
      <c r="R38" s="3" t="inlineStr">
        <is>
          <t>python3 03-composicion/compositor.py --minutos 120 --raiz 432 --modo yo --semilla 718809 --caracter sin-cuenco --registro grave</t>
        </is>
      </c>
      <c r="S38" s="2" t="inlineStr">
        <is>
          <t>python3 03-composicion/capas.py aves 7240 audio/OBRA-037_capa.wav --semilla 718809 --densidad 2 &amp;&amp; python3 03-composicion/ambiente.py audio/OBRA-037_432_yo.wav audio/OBRA-037_final.wav --fondo selva --nivel-capa -2 --capa audio/OBRA-037_capa.wav</t>
        </is>
      </c>
      <c r="T38" s="4" t="inlineStr">
        <is>
          <t>pendiente</t>
        </is>
      </c>
      <c r="U38" s="4" t="inlineStr"/>
      <c r="V38" s="4" t="inlineStr"/>
      <c r="W38" s="4" t="inlineStr"/>
      <c r="X38" s="5">
        <f>IFERROR(W38/V38*1000,"")</f>
        <v/>
      </c>
    </row>
    <row r="39" ht="58" customHeight="1">
      <c r="A39" s="2" t="inlineStr">
        <is>
          <t>OBRA-038</t>
        </is>
      </c>
      <c r="B39" s="3" t="inlineStr">
        <is>
          <t>Focus Music · Ocean Waves · 528 Hz · One Thing · 2 Hours</t>
        </is>
      </c>
      <c r="C39" s="2" t="inlineStr">
        <is>
          <t>Música para concentrarse · Olas del mar · 528 Hz · Una sola cosa · 2 horas</t>
        </is>
      </c>
      <c r="D39" s="2" t="inlineStr">
        <is>
          <t>Concentración</t>
        </is>
      </c>
      <c r="E39" s="2" t="inlineStr">
        <is>
          <t>mar</t>
        </is>
      </c>
      <c r="F39" s="3" t="inlineStr">
        <is>
          <t>One Thing · 2 Hours
To accompany work or study.
Ambience: ocean waves.
Composed around a root of 264 Hz, the low octave of 528 Hz, in just intonation, shin mode.
Breathing cycle: from 6.0 down to 5.5 breaths per minute, 40 % inhale / 60 % exhale.
Original composition, synthesized from scratch, ambience included. No third-party samples.
Chapters:
00:00 [fill in after editing]</t>
        </is>
      </c>
      <c r="G39" s="2" t="inlineStr">
        <is>
          <t>Una sola cosa · 2 horas
Para acompañar el trabajo o el estudio.
Ambiente: olas del mar.
Compuesta con raíz en 264 Hz, la octava grave de 528 Hz, en entonación justa, modo shin.
Ciclo respiratorio: de 6.0 a 5.5 respiraciones por minuto, inhalar 40 % / exhalar 60 %.
Composición original, sintetizada desde cero: el ambiente también. Ninguna muestra procede de terceros.
Capítulos:
00:00 [completar tras el montaje]</t>
        </is>
      </c>
      <c r="H39" s="2" t="inlineStr">
        <is>
          <t>2 HOURS</t>
        </is>
      </c>
      <c r="I39" s="2" t="inlineStr">
        <is>
          <t>#FocusMusic #Meditation #528Hz</t>
        </is>
      </c>
      <c r="J39" s="3" t="inlineStr">
        <is>
          <t>528 hz, música 528 hz, música para concentrarse, focus music, concentración, shin, música relajante, meditación, relajación, entonación justa, composición original, meditation music, relaxing music, sleep music, singing bowls, just intonation</t>
        </is>
      </c>
      <c r="K39" s="4" t="inlineStr"/>
      <c r="L39" s="4" t="inlineStr"/>
      <c r="M39" s="2" t="n">
        <v>528</v>
      </c>
      <c r="N39" s="2" t="inlineStr">
        <is>
          <t>shin</t>
        </is>
      </c>
      <c r="O39" s="2" t="inlineStr">
        <is>
          <t>grave</t>
        </is>
      </c>
      <c r="P39" s="2" t="n">
        <v>203246</v>
      </c>
      <c r="Q39" s="2" t="n">
        <v>120</v>
      </c>
      <c r="R39" s="3" t="inlineStr">
        <is>
          <t>python3 03-composicion/compositor.py --minutos 120 --raiz 528 --modo shin --semilla 203246 --caracter sin-cuenco --registro grave</t>
        </is>
      </c>
      <c r="S39" s="2" t="inlineStr">
        <is>
          <t>python3 03-composicion/ambiente.py audio/OBRA-038_528_shin.wav audio/OBRA-038_final.wav --fondo mar</t>
        </is>
      </c>
      <c r="T39" s="4" t="inlineStr">
        <is>
          <t>pendiente</t>
        </is>
      </c>
      <c r="U39" s="4" t="inlineStr"/>
      <c r="V39" s="4" t="inlineStr"/>
      <c r="W39" s="4" t="inlineStr"/>
      <c r="X39" s="5">
        <f>IFERROR(W39/V39*1000,"")</f>
        <v/>
      </c>
    </row>
    <row r="40" ht="58" customHeight="1">
      <c r="A40" s="2" t="inlineStr">
        <is>
          <t>OBRA-039</t>
        </is>
      </c>
      <c r="B40" s="3" t="inlineStr">
        <is>
          <t>Focus Music · Tropical Rainforest · 639 Hz · Open Window · 90 Minutes</t>
        </is>
      </c>
      <c r="C40" s="2" t="inlineStr">
        <is>
          <t>Música para concentrarse · Selva tropical · 639 Hz · Ventana abierta · 90 minutos</t>
        </is>
      </c>
      <c r="D40" s="2" t="inlineStr">
        <is>
          <t>Concentración</t>
        </is>
      </c>
      <c r="E40" s="2" t="inlineStr">
        <is>
          <t>selva</t>
        </is>
      </c>
      <c r="F40" s="3" t="inlineStr">
        <is>
          <t>Open Window · 90 Minutes
To accompany work or study.
Ambience: tropical rainforest.
Composed around a root of 319.5 Hz, the low octave of 639 Hz, in just intonation, yo mode.
Breathing cycle: from 6.0 down to 5.5 breaths per minute, 40 % inhale / 60 % exhale.
Original composition, synthesized from scratch, ambience included. No third-party samples.
Chapters:
00:00 [fill in after editing]</t>
        </is>
      </c>
      <c r="G40" s="2" t="inlineStr">
        <is>
          <t>Ventana abierta · 90 minutos
Para acompañar el trabajo o el estudio.
Ambiente: selva tropical.
Compuesta con raíz en 319.5 Hz, la octava grave de 639 Hz, en entonación justa, modo yo.
Ciclo respiratorio: de 6.0 a 5.5 respiraciones por minuto, inhalar 40 % / exhalar 60 %.
Composición original, sintetizada desde cero: el ambiente también. Ninguna muestra procede de terceros.
Capítulos:
00:00 [completar tras el montaje]</t>
        </is>
      </c>
      <c r="H40" s="2" t="inlineStr">
        <is>
          <t>90 MIN</t>
        </is>
      </c>
      <c r="I40" s="2" t="inlineStr">
        <is>
          <t>#FocusMusic #Meditation #639Hz</t>
        </is>
      </c>
      <c r="J40" s="3" t="inlineStr">
        <is>
          <t>639 hz, música 639 hz, música para concentrarse, focus music, concentración, yo, música relajante, meditación, relajación, entonación justa, composición original, meditation music, relaxing music, sleep music, singing bowls, just intonation</t>
        </is>
      </c>
      <c r="K40" s="4" t="inlineStr"/>
      <c r="L40" s="4" t="inlineStr"/>
      <c r="M40" s="2" t="n">
        <v>639</v>
      </c>
      <c r="N40" s="2" t="inlineStr">
        <is>
          <t>yo</t>
        </is>
      </c>
      <c r="O40" s="2" t="inlineStr">
        <is>
          <t>grave</t>
        </is>
      </c>
      <c r="P40" s="2" t="n">
        <v>281608</v>
      </c>
      <c r="Q40" s="2" t="n">
        <v>90</v>
      </c>
      <c r="R40" s="3" t="inlineStr">
        <is>
          <t>python3 03-composicion/compositor.py --minutos 90 --raiz 639 --modo yo --semilla 281608 --caracter sin-cuenco --registro grave</t>
        </is>
      </c>
      <c r="S40" s="2" t="inlineStr">
        <is>
          <t>python3 03-composicion/capas.py aves 5440 audio/OBRA-039_capa.wav --semilla 281608 --densidad 2 &amp;&amp; python3 03-composicion/ambiente.py audio/OBRA-039_639_yo.wav audio/OBRA-039_final.wav --fondo selva --nivel-capa -2 --capa audio/OBRA-039_capa.wav</t>
        </is>
      </c>
      <c r="T40" s="4" t="inlineStr">
        <is>
          <t>pendiente</t>
        </is>
      </c>
      <c r="U40" s="4" t="inlineStr"/>
      <c r="V40" s="4" t="inlineStr"/>
      <c r="W40" s="4" t="inlineStr"/>
      <c r="X40" s="5">
        <f>IFERROR(W40/V40*1000,"")</f>
        <v/>
      </c>
    </row>
    <row r="41" ht="58" customHeight="1">
      <c r="A41" s="2" t="inlineStr">
        <is>
          <t>OBRA-040</t>
        </is>
      </c>
      <c r="B41" s="3" t="inlineStr">
        <is>
          <t>Focus Music · Ocean and Birds · 741 Hz · Until It's Done · 3 Hours</t>
        </is>
      </c>
      <c r="C41" s="2" t="inlineStr">
        <is>
          <t>Música para concentrarse · Mar y pájaros · 741 Hz · Hasta terminar · 3 horas</t>
        </is>
      </c>
      <c r="D41" s="2" t="inlineStr">
        <is>
          <t>Concentración</t>
        </is>
      </c>
      <c r="E41" s="2" t="inlineStr">
        <is>
          <t>mar-aves</t>
        </is>
      </c>
      <c r="F41" s="3" t="inlineStr">
        <is>
          <t>Until It's Done · 3 Hours
To accompany work or study.
Ambience: ocean and birds.
Composed around a root of 370.5 Hz, the low octave of 741 Hz, in just intonation, yo mode.
Breathing cycle: from 6.0 down to 5.5 breaths per minute, 40 % inhale / 60 % exhale.
Original composition, synthesized from scratch, ambience included. No third-party samples.
Chapters:
00:00 [fill in after editing]</t>
        </is>
      </c>
      <c r="G41" s="2" t="inlineStr">
        <is>
          <t>Hasta terminar · 3 horas
Para acompañar el trabajo o el estudio.
Ambiente: mar y pájaros.
Compuesta con raíz en 370.5 Hz, la octava grave de 741 Hz, en entonación justa, modo yo.
Ciclo respiratorio: de 6.0 a 5.5 respiraciones por minuto, inhalar 40 % / exhalar 60 %.
Composición original, sintetizada desde cero: el ambiente también. Ninguna muestra procede de terceros.
Capítulos:
00:00 [completar tras el montaje]</t>
        </is>
      </c>
      <c r="H41" s="2" t="inlineStr">
        <is>
          <t>3 HOURS</t>
        </is>
      </c>
      <c r="I41" s="2" t="inlineStr">
        <is>
          <t>#FocusMusic #Meditation #741Hz</t>
        </is>
      </c>
      <c r="J41" s="3" t="inlineStr">
        <is>
          <t>741 hz, música 741 hz, música para concentrarse, focus music, concentración, yo, música relajante, meditación, relajación, entonación justa, composición original, meditation music, relaxing music, sleep music, singing bowls, just intonation</t>
        </is>
      </c>
      <c r="K41" s="4" t="inlineStr"/>
      <c r="L41" s="4" t="inlineStr"/>
      <c r="M41" s="2" t="n">
        <v>741</v>
      </c>
      <c r="N41" s="2" t="inlineStr">
        <is>
          <t>yo</t>
        </is>
      </c>
      <c r="O41" s="2" t="inlineStr">
        <is>
          <t>grave</t>
        </is>
      </c>
      <c r="P41" s="2" t="n">
        <v>883876</v>
      </c>
      <c r="Q41" s="2" t="n">
        <v>180</v>
      </c>
      <c r="R41" s="3" t="inlineStr">
        <is>
          <t>python3 03-composicion/compositor.py --minutos 180 --raiz 741 --modo yo --semilla 883876 --caracter sin-cuenco --registro grave</t>
        </is>
      </c>
      <c r="S41" s="2" t="inlineStr">
        <is>
          <t>python3 03-composicion/capas.py aves 10840 audio/OBRA-040_capa.wav --semilla 883876 &amp;&amp; python3 03-composicion/ambiente.py audio/OBRA-040_741_yo.wav audio/OBRA-040_final.wav --fondo mar --nivel-capa -4 --capa audio/OBRA-040_capa.wav</t>
        </is>
      </c>
      <c r="T41" s="4" t="inlineStr">
        <is>
          <t>pendiente</t>
        </is>
      </c>
      <c r="U41" s="4" t="inlineStr"/>
      <c r="V41" s="4" t="inlineStr"/>
      <c r="W41" s="4" t="inlineStr"/>
      <c r="X41" s="5">
        <f>IFERROR(W41/V41*1000,"")</f>
        <v/>
      </c>
    </row>
  </sheetData>
  <autoFilter ref="A1:X4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c r="A1" s="6" t="inlineStr">
        <is>
          <t>Estado del catálogo</t>
        </is>
      </c>
    </row>
    <row r="2">
      <c r="A2" s="7" t="inlineStr">
        <is>
          <t>Total de obras</t>
        </is>
      </c>
      <c r="B2" s="7">
        <f>COUNTA(Catálogo!A2:A41)</f>
        <v/>
      </c>
    </row>
    <row r="3">
      <c r="A3" s="7" t="inlineStr">
        <is>
          <t>Pendientes</t>
        </is>
      </c>
      <c r="B3" s="7">
        <f>COUNTIF(Catálogo!T2:T41,"pendiente")</f>
        <v/>
      </c>
    </row>
    <row r="4">
      <c r="A4" s="7" t="inlineStr">
        <is>
          <t>Compuestas</t>
        </is>
      </c>
      <c r="B4" s="7">
        <f>COUNTIF(Catálogo!T2:T41,"compuesta")</f>
        <v/>
      </c>
    </row>
    <row r="5">
      <c r="A5" s="7" t="inlineStr">
        <is>
          <t>Montadas</t>
        </is>
      </c>
      <c r="B5" s="7">
        <f>COUNTIF(Catálogo!T2:T41,"montada")</f>
        <v/>
      </c>
    </row>
    <row r="6">
      <c r="A6" s="7" t="inlineStr">
        <is>
          <t>Publicadas</t>
        </is>
      </c>
      <c r="B6" s="7">
        <f>COUNTIF(Catálogo!T2:T41,"publicada")</f>
        <v/>
      </c>
    </row>
    <row r="8">
      <c r="A8" s="6" t="inlineStr">
        <is>
          <t>Por intención</t>
        </is>
      </c>
    </row>
    <row r="9">
      <c r="A9" s="8" t="inlineStr">
        <is>
          <t>Intención</t>
        </is>
      </c>
      <c r="B9" s="8" t="inlineStr">
        <is>
          <t>Obras</t>
        </is>
      </c>
      <c r="C9" s="8" t="inlineStr">
        <is>
          <t>Publicadas</t>
        </is>
      </c>
      <c r="D9" s="8" t="inlineStr">
        <is>
          <t>Minutos totales</t>
        </is>
      </c>
    </row>
    <row r="10">
      <c r="A10" s="7" t="inlineStr">
        <is>
          <t>Dormir</t>
        </is>
      </c>
      <c r="B10" s="7">
        <f>COUNTIF(Catálogo!D2:D41,A10)</f>
        <v/>
      </c>
      <c r="C10" s="7">
        <f>COUNTIFS(Catálogo!D2:D41,A10,Catálogo!T2:T41,"publicada")</f>
        <v/>
      </c>
      <c r="D10" s="7">
        <f>SUMIF(Catálogo!D2:D41,A10,Catálogo!Q2:Q41)</f>
        <v/>
      </c>
    </row>
    <row r="11">
      <c r="A11" s="7" t="inlineStr">
        <is>
          <t>Ansiedad</t>
        </is>
      </c>
      <c r="B11" s="7">
        <f>COUNTIF(Catálogo!D2:D41,A11)</f>
        <v/>
      </c>
      <c r="C11" s="7">
        <f>COUNTIFS(Catálogo!D2:D41,A11,Catálogo!T2:T41,"publicada")</f>
        <v/>
      </c>
      <c r="D11" s="7">
        <f>SUMIF(Catálogo!D2:D41,A11,Catálogo!Q2:Q41)</f>
        <v/>
      </c>
    </row>
    <row r="12">
      <c r="A12" s="7" t="inlineStr">
        <is>
          <t>Meditar</t>
        </is>
      </c>
      <c r="B12" s="7">
        <f>COUNTIF(Catálogo!D2:D41,A12)</f>
        <v/>
      </c>
      <c r="C12" s="7">
        <f>COUNTIFS(Catálogo!D2:D41,A12,Catálogo!T2:T41,"publicada")</f>
        <v/>
      </c>
      <c r="D12" s="7">
        <f>SUMIF(Catálogo!D2:D41,A12,Catálogo!Q2:Q41)</f>
        <v/>
      </c>
    </row>
    <row r="13">
      <c r="A13" s="7" t="inlineStr">
        <is>
          <t>Soltar</t>
        </is>
      </c>
      <c r="B13" s="7">
        <f>COUNTIF(Catálogo!D2:D41,A13)</f>
        <v/>
      </c>
      <c r="C13" s="7">
        <f>COUNTIFS(Catálogo!D2:D41,A13,Catálogo!T2:T41,"publicada")</f>
        <v/>
      </c>
      <c r="D13" s="7">
        <f>SUMIF(Catálogo!D2:D41,A13,Catálogo!Q2:Q41)</f>
        <v/>
      </c>
    </row>
    <row r="14">
      <c r="A14" s="7" t="inlineStr">
        <is>
          <t>Concentración</t>
        </is>
      </c>
      <c r="B14" s="7">
        <f>COUNTIF(Catálogo!D2:D41,A14)</f>
        <v/>
      </c>
      <c r="C14" s="7">
        <f>COUNTIFS(Catálogo!D2:D41,A14,Catálogo!T2:T41,"publicada")</f>
        <v/>
      </c>
      <c r="D14" s="7">
        <f>SUMIF(Catálogo!D2:D41,A14,Catálogo!Q2:Q41)</f>
        <v/>
      </c>
    </row>
    <row r="15">
      <c r="A15" s="8" t="inlineStr">
        <is>
          <t>TOTAL</t>
        </is>
      </c>
      <c r="B15" s="8">
        <f>SUM(B10:B14)</f>
        <v/>
      </c>
      <c r="C15" s="8">
        <f>SUM(C10:C14)</f>
        <v/>
      </c>
      <c r="D15" s="8">
        <f>SUM(D10:D14)</f>
        <v/>
      </c>
    </row>
    <row r="17">
      <c r="A17" s="6" t="inlineStr">
        <is>
          <t>Rendimiento</t>
        </is>
      </c>
    </row>
    <row r="18">
      <c r="A18" s="7" t="inlineStr">
        <is>
          <t>Vistas totales</t>
        </is>
      </c>
      <c r="B18" s="7">
        <f>SUM(Catálogo!V2:V41)</f>
        <v/>
      </c>
    </row>
    <row r="19">
      <c r="A19" s="7" t="inlineStr">
        <is>
          <t>Suscriptores totales</t>
        </is>
      </c>
      <c r="B19" s="7">
        <f>SUM(Catálogo!W2:W41)</f>
        <v/>
      </c>
    </row>
    <row r="20">
      <c r="A20" s="7" t="inlineStr">
        <is>
          <t>Subs por 1.000 vistas</t>
        </is>
      </c>
      <c r="B20" s="9">
        <f>IFERROR(B19/B18*1000,"")</f>
        <v/>
      </c>
      <c r="C20" s="10" t="inlineStr">
        <is>
          <t>← la métrica que decide el canal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6" customWidth="1" min="1" max="1"/>
    <col width="94" customWidth="1" min="2" max="2"/>
  </cols>
  <sheetData>
    <row r="1">
      <c r="A1" s="6" t="inlineStr">
        <is>
          <t>Cómo se usa esta hoja</t>
        </is>
      </c>
    </row>
    <row r="2">
      <c r="A2" s="6" t="inlineStr"/>
    </row>
    <row r="3">
      <c r="A3" s="8" t="inlineStr">
        <is>
          <t>Celdas amarillas</t>
        </is>
      </c>
      <c r="B3" s="11" t="inlineStr">
        <is>
          <t>Las únicas que se rellenan a mano. Todo lo demás está calculado o generado.</t>
        </is>
      </c>
    </row>
    <row r="4">
      <c r="A4" s="8" t="inlineStr">
        <is>
          <t>Texto azul</t>
        </is>
      </c>
      <c r="B4" s="11" t="inlineStr">
        <is>
          <t>Dato de entrada. El texto negro no se toca.</t>
        </is>
      </c>
    </row>
    <row r="5">
      <c r="A5" s="6" t="inlineStr"/>
    </row>
    <row r="6">
      <c r="A6" s="8" t="inlineStr">
        <is>
          <t>id</t>
        </is>
      </c>
      <c r="B6" s="11" t="inlineStr">
        <is>
          <t>Identificador fijo de la obra. No cambia nunca.</t>
        </is>
      </c>
    </row>
    <row r="7">
      <c r="A7" s="8" t="inlineStr">
        <is>
          <t>titulo</t>
        </is>
      </c>
      <c r="B7" s="11" t="inlineStr">
        <is>
          <t>Título de YouTube: palabra clave · raíz · nombre propio · duración.</t>
        </is>
      </c>
    </row>
    <row r="8">
      <c r="A8" s="8" t="inlineStr">
        <is>
          <t>titulo / descripcion_optimizada</t>
        </is>
      </c>
      <c r="B8" s="11" t="inlineStr">
        <is>
          <t>En inglés, el idioma principal del canal.</t>
        </is>
      </c>
    </row>
    <row r="9">
      <c r="A9" s="8" t="inlineStr">
        <is>
          <t>titulo_es / descripcion_es</t>
        </is>
      </c>
      <c r="B9" s="11" t="inlineStr">
        <is>
          <t>La traducción al español. Se carga en YouTube Studio → Subtítulos → Título y descripción.</t>
        </is>
      </c>
    </row>
    <row r="10">
      <c r="A10" s="8" t="inlineStr">
        <is>
          <t>tema</t>
        </is>
      </c>
      <c r="B10" s="11" t="inlineStr">
        <is>
          <t>Intención: qué acompaña la obra. Determina la palabra clave y el ciclo respiratorio.</t>
        </is>
      </c>
    </row>
    <row r="11">
      <c r="A11" s="8" t="inlineStr">
        <is>
          <t>ambiente</t>
        </is>
      </c>
      <c r="B11" s="11" t="inlineStr">
        <is>
          <t>Ambiente aprobado en escucha: mar, mar-aves, zen, selva o lluvia-tambor.</t>
        </is>
      </c>
    </row>
    <row r="12">
      <c r="A12" s="8" t="inlineStr">
        <is>
          <t>comando_ambiente</t>
        </is>
      </c>
      <c r="B12" s="11" t="inlineStr">
        <is>
          <t>Segundo paso: envuelve la obra compuesta en su ambiente.</t>
        </is>
      </c>
    </row>
    <row r="13">
      <c r="A13" s="8" t="inlineStr">
        <is>
          <t>descripcion_optimizada</t>
        </is>
      </c>
      <c r="B13" s="11" t="inlineStr">
        <is>
          <t>Descripción bilingüe lista para pegar. Solo falta añadir los capítulos tras el montaje.</t>
        </is>
      </c>
    </row>
    <row r="14">
      <c r="A14" s="8" t="inlineStr">
        <is>
          <t>titulo_miniatura</t>
        </is>
      </c>
      <c r="B14" s="11" t="inlineStr">
        <is>
          <t>Texto de la miniatura: 2-4 palabras que COMPLETAN el título, nunca lo repiten.</t>
        </is>
      </c>
    </row>
    <row r="15">
      <c r="A15" s="8" t="inlineStr">
        <is>
          <t>hashtags</t>
        </is>
      </c>
      <c r="B15" s="11" t="inlineStr">
        <is>
          <t>Tres, al final de la descripción.</t>
        </is>
      </c>
    </row>
    <row r="16">
      <c r="A16" s="8" t="inlineStr">
        <is>
          <t>etiquetas</t>
        </is>
      </c>
      <c r="B16" s="11" t="inlineStr">
        <is>
          <t>Etiquetas del video, separadas por coma.</t>
        </is>
      </c>
    </row>
    <row r="17">
      <c r="A17" s="8" t="inlineStr">
        <is>
          <t>imagen_miniatura</t>
        </is>
      </c>
      <c r="B17" s="11" t="inlineStr">
        <is>
          <t>AMARILLA. Ruta o URL de la portada una vez generada.</t>
        </is>
      </c>
    </row>
    <row r="18">
      <c r="A18" s="8" t="inlineStr">
        <is>
          <t>url_video</t>
        </is>
      </c>
      <c r="B18" s="11" t="inlineStr">
        <is>
          <t>AMARILLA. URL de YouTube una vez publicado.</t>
        </is>
      </c>
    </row>
    <row r="19">
      <c r="A19" s="8" t="inlineStr">
        <is>
          <t>raiz_hz / modo / registro / semilla</t>
        </is>
      </c>
      <c r="B19" s="11" t="inlineStr">
        <is>
          <t>Parámetros de composición. El registro grave baja una octava (Dormir y Concentración). La semilla regenera la obra idéntica.</t>
        </is>
      </c>
    </row>
    <row r="20">
      <c r="A20" s="8" t="inlineStr">
        <is>
          <t>comando_regeneracion</t>
        </is>
      </c>
      <c r="B20" s="11" t="inlineStr">
        <is>
          <t>Comando exacto. Copiar, pegar y ejecutar: devuelve el mismo audio bit a bit.</t>
        </is>
      </c>
    </row>
    <row r="21">
      <c r="A21" s="8" t="inlineStr">
        <is>
          <t>estado</t>
        </is>
      </c>
      <c r="B21" s="11" t="inlineStr">
        <is>
          <t>AMARILLA. pendiente / compuesta / montada / publicada</t>
        </is>
      </c>
    </row>
    <row r="22">
      <c r="A22" s="8" t="inlineStr">
        <is>
          <t>fecha_publicacion</t>
        </is>
      </c>
      <c r="B22" s="11" t="inlineStr">
        <is>
          <t>AMARILLA. Formato AAAA-MM-DD.</t>
        </is>
      </c>
    </row>
    <row r="23">
      <c r="A23" s="8" t="inlineStr">
        <is>
          <t>vistas / suscriptores</t>
        </is>
      </c>
      <c r="B23" s="11" t="inlineStr">
        <is>
          <t>AMARILLA. Copiar de YouTube Studio a los 14 días de publicar.</t>
        </is>
      </c>
    </row>
    <row r="24">
      <c r="A24" s="8" t="inlineStr">
        <is>
          <t>subs_por_1000</t>
        </is>
      </c>
      <c r="B24" s="11" t="inlineStr">
        <is>
          <t>Calculada. Es la métrica que decide el canal: por debajo de 1, el problema es la portada, no la música.</t>
        </is>
      </c>
    </row>
    <row r="25">
      <c r="A25" s="6" t="inlineStr"/>
    </row>
    <row r="26">
      <c r="A26" s="8" t="inlineStr">
        <is>
          <t>Ejemplo de fila rellenada</t>
        </is>
      </c>
      <c r="B26" s="11" t="inlineStr">
        <is>
          <t>imagen_miniatura: portadas/obra-001.png | url_video: https://youtu.be/XXXXXXXXXXX | estado: publicada | fecha_publicacion: 2026-10-07 | vistas: 4820 | suscriptores: 11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2026-09-23T03:44:01Z</dcterms:created>
  <dcterms:modified xsi:type="dcterms:W3CDTF">2026-09-23T03:44:01Z</dcterms:modified>
</cp:coreProperties>
</file>