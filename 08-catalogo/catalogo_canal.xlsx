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'Catálogo'!$A$1:$Y$43</definedName>
    <definedName name="_xlnm._FilterDatabase" localSheetId="1" hidden="1">'Shorts'!$A$1:$S$295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62" customWidth="1" min="19" max="19"/>
    <col width="62" customWidth="1" min="20" max="20"/>
    <col width="13" customWidth="1" min="21" max="21"/>
    <col width="18" customWidth="1" min="22" max="22"/>
    <col width="10" customWidth="1" min="23" max="23"/>
    <col width="13" customWidth="1" min="24" max="24"/>
    <col width="14" customWidth="1" min="25" max="25"/>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comando_regeneracion</t>
        </is>
      </c>
      <c r="T1" s="1" t="inlineStr">
        <is>
          <t>comando_ambiente</t>
        </is>
      </c>
      <c r="U1" s="1" t="inlineStr">
        <is>
          <t>estado</t>
        </is>
      </c>
      <c r="V1" s="1" t="inlineStr">
        <is>
          <t>fecha_publicacion</t>
        </is>
      </c>
      <c r="W1" s="1" t="inlineStr">
        <is>
          <t>vistas</t>
        </is>
      </c>
      <c r="X1" s="1" t="inlineStr">
        <is>
          <t>suscriptores</t>
        </is>
      </c>
      <c r="Y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3" t="inlineStr">
        <is>
          <t>python3 03-composicion/compositor.py --minutos 180 --raiz 432 --modo shin --semilla 505716 --caracter sin-cuenco --registro grave</t>
        </is>
      </c>
      <c r="T2" s="2" t="inlineStr">
        <is>
          <t>python3 03-composicion/ambiente.py audio/OBRA-001_432_shin.wav audio/OBRA-001_final.wav --fondo mar</t>
        </is>
      </c>
      <c r="U2" s="4" t="inlineStr">
        <is>
          <t>pendiente</t>
        </is>
      </c>
      <c r="V2" s="4" t="inlineStr"/>
      <c r="W2" s="4" t="inlineStr"/>
      <c r="X2" s="4" t="inlineStr"/>
      <c r="Y2" s="5">
        <f>IFERROR(X2/W2*1000,"")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3" t="inlineStr">
        <is>
          <t>python3 03-composicion/compositor.py --minutos 120 --raiz 528 --modo kumoi --semilla 443547 --caracter sin-cuenco --registro grave</t>
        </is>
      </c>
      <c r="T3" s="2" t="inlineStr">
        <is>
          <t>python3 03-composicion/ambiente.py audio/OBRA-002_528_kumoi.wav audio/OBRA-002_final.wav --fondo mar</t>
        </is>
      </c>
      <c r="U3" s="4" t="inlineStr">
        <is>
          <t>pendiente</t>
        </is>
      </c>
      <c r="V3" s="4" t="inlineStr"/>
      <c r="W3" s="4" t="inlineStr"/>
      <c r="X3" s="4" t="inlineStr"/>
      <c r="Y3" s="5">
        <f>IFERROR(X3/W3*1000,"")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3" t="inlineStr">
        <is>
          <t>python3 03-composicion/compositor.py --minutos 120 --raiz 396 --modo kumoi --semilla 692584 --caracter sin-cuenco --registro grave</t>
        </is>
      </c>
      <c r="T4" s="2" t="inlineStr">
        <is>
          <t>python3 03-composicion/ambiente.py audio/OBRA-003_396_kumoi.wav audio/OBRA-003_final.wav --fondo mar</t>
        </is>
      </c>
      <c r="U4" s="4" t="inlineStr">
        <is>
          <t>pendiente</t>
        </is>
      </c>
      <c r="V4" s="4" t="inlineStr"/>
      <c r="W4" s="4" t="inlineStr"/>
      <c r="X4" s="4" t="inlineStr"/>
      <c r="Y4" s="5">
        <f>IFERROR(X4/W4*1000,"")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3" t="inlineStr">
        <is>
          <t>python3 03-composicion/compositor.py --minutos 180 --raiz 528 --modo shin --semilla 751043 --caracter sin-cuenco --registro grave</t>
        </is>
      </c>
      <c r="T5" s="2" t="inlineStr">
        <is>
          <t>python3 03-composicion/ambiente.py audio/OBRA-004_528_shin.wav audio/OBRA-004_final.wav --fondo mar</t>
        </is>
      </c>
      <c r="U5" s="4" t="inlineStr">
        <is>
          <t>pendiente</t>
        </is>
      </c>
      <c r="V5" s="4" t="inlineStr"/>
      <c r="W5" s="4" t="inlineStr"/>
      <c r="X5" s="4" t="inlineStr"/>
      <c r="Y5" s="5">
        <f>IFERROR(X5/W5*1000,"")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3" t="inlineStr">
        <is>
          <t>python3 03-composicion/compositor.py --minutos 120 --raiz 432 --modo kumoi --semilla 531725 --caracter sin-cuenco --registro grave</t>
        </is>
      </c>
      <c r="T6" s="2" t="inlineStr">
        <is>
          <t>python3 03-composicion/ambiente.py audio/OBRA-005_432_kumoi.wav audio/OBRA-005_final.wav --fondo mar</t>
        </is>
      </c>
      <c r="U6" s="4" t="inlineStr">
        <is>
          <t>pendiente</t>
        </is>
      </c>
      <c r="V6" s="4" t="inlineStr"/>
      <c r="W6" s="4" t="inlineStr"/>
      <c r="X6" s="4" t="inlineStr"/>
      <c r="Y6" s="5">
        <f>IFERROR(X6/W6*1000,"")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3" t="inlineStr">
        <is>
          <t>python3 03-composicion/compositor.py --minutos 90 --raiz 417 --modo kumoi --semilla 813147 --caracter sin-cuenco --registro grave</t>
        </is>
      </c>
      <c r="T7" s="2" t="inlineStr">
        <is>
          <t>python3 03-composicion/ambiente.py audio/OBRA-006_417_kumoi.wav audio/OBRA-006_final.wav --fondo mar</t>
        </is>
      </c>
      <c r="U7" s="4" t="inlineStr">
        <is>
          <t>publicada</t>
        </is>
      </c>
      <c r="V7" s="4" t="inlineStr">
        <is>
          <t>2026-09-26</t>
        </is>
      </c>
      <c r="W7" s="4" t="inlineStr"/>
      <c r="X7" s="4" t="inlineStr"/>
      <c r="Y7" s="5">
        <f>IFERROR(X7/W7*1000,"")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3" t="inlineStr">
        <is>
          <t>python3 03-composicion/compositor.py --minutos 120 --raiz 396 --modo shin --semilla 885916 --caracter sin-cuenco --registro grave</t>
        </is>
      </c>
      <c r="T8" s="2" t="inlineStr">
        <is>
          <t>python3 03-composicion/ambiente.py audio/OBRA-007_396_shin.wav audio/OBRA-007_final.wav --fondo mar</t>
        </is>
      </c>
      <c r="U8" s="4" t="inlineStr">
        <is>
          <t>pendiente</t>
        </is>
      </c>
      <c r="V8" s="4" t="inlineStr"/>
      <c r="W8" s="4" t="inlineStr"/>
      <c r="X8" s="4" t="inlineStr"/>
      <c r="Y8" s="5">
        <f>IFERROR(X8/W8*1000,"")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3" t="inlineStr">
        <is>
          <t>python3 03-composicion/compositor.py --minutos 180 --raiz 432 --modo kumoi --semilla 295910 --caracter sin-cuenco --registro grave</t>
        </is>
      </c>
      <c r="T9" s="2" t="inlineStr">
        <is>
          <t>python3 03-composicion/ambiente.py audio/OBRA-008_432_kumoi.wav audio/OBRA-008_final.wav --fondo mar</t>
        </is>
      </c>
      <c r="U9" s="4" t="inlineStr">
        <is>
          <t>pendiente</t>
        </is>
      </c>
      <c r="V9" s="4" t="inlineStr"/>
      <c r="W9" s="4" t="inlineStr"/>
      <c r="X9" s="4" t="inlineStr"/>
      <c r="Y9" s="5">
        <f>IFERROR(X9/W9*1000,"")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3" t="inlineStr">
        <is>
          <t>python3 03-composicion/compositor.py --minutos 25 --raiz 396 --modo kumoi --semilla 555819 --caracter sin-cuenco</t>
        </is>
      </c>
      <c r="T10" s="2" t="inlineStr">
        <is>
          <t>python3 03-composicion/capas.py aves 1540 audio/OBRA-009_capa.wav --semilla 555819 --raiz 396 &amp;&amp; python3 03-composicion/ambiente.py audio/OBRA-009_396_kumoi.wav audio/OBRA-009_final.wav --fondo mar --nivel-capa -4 --capa audio/OBRA-009_capa.wav</t>
        </is>
      </c>
      <c r="U10" s="4" t="inlineStr">
        <is>
          <t>pendiente</t>
        </is>
      </c>
      <c r="V10" s="4" t="inlineStr"/>
      <c r="W10" s="4" t="inlineStr"/>
      <c r="X10" s="4" t="inlineStr"/>
      <c r="Y10" s="5">
        <f>IFERROR(X10/W10*1000,"")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3" t="inlineStr">
        <is>
          <t>python3 03-composicion/compositor.py --minutos 30 --raiz 432 --modo hirajoshi --semilla 739461 --caracter sin-cuenco</t>
        </is>
      </c>
      <c r="T11" s="2" t="inlineStr">
        <is>
          <t>python3 03-composicion/capas.py zen 1840 audio/OBRA-010_capa.wav --semilla 739461 --raiz 432 --densidad 1.4 &amp;&amp; python3 03-composicion/ambiente.py audio/OBRA-010_432_hirajoshi.wav audio/OBRA-010_final.wav --fondo mar --nivel-fondo -7 --nivel-capa 2 --capa audio/OBRA-010_capa.wav</t>
        </is>
      </c>
      <c r="U11" s="4" t="inlineStr">
        <is>
          <t>pendiente</t>
        </is>
      </c>
      <c r="V11" s="4" t="inlineStr"/>
      <c r="W11" s="4" t="inlineStr"/>
      <c r="X11" s="4" t="inlineStr"/>
      <c r="Y11" s="5">
        <f>IFERROR(X11/W11*1000,"")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3" t="inlineStr">
        <is>
          <t>python3 03-composicion/compositor.py --minutos 20 --raiz 528 --modo hirajoshi --semilla 913368 --caracter sin-cuenco</t>
        </is>
      </c>
      <c r="T12" s="2" t="inlineStr">
        <is>
          <t>python3 03-composicion/capas.py aves 1240 audio/OBRA-011_capa.wav --semilla 913368 --raiz 528 &amp;&amp; python3 03-composicion/ambiente.py audio/OBRA-011_528_hirajoshi.wav audio/OBRA-011_final.wav --fondo mar --nivel-capa -4 --capa audio/OBRA-011_capa.wav</t>
        </is>
      </c>
      <c r="U12" s="4" t="inlineStr">
        <is>
          <t>pendiente</t>
        </is>
      </c>
      <c r="V12" s="4" t="inlineStr"/>
      <c r="W12" s="4" t="inlineStr"/>
      <c r="X12" s="4" t="inlineStr"/>
      <c r="Y12" s="5">
        <f>IFERROR(X12/W12*1000,"")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3" t="inlineStr">
        <is>
          <t>python3 03-composicion/compositor.py --minutos 10 --raiz 528 --modo shin --semilla 43734 --caracter sin-cuenco</t>
        </is>
      </c>
      <c r="T13" s="2" t="inlineStr">
        <is>
          <t>python3 03-composicion/capas.py zen 640 audio/OBRA-012_capa.wav --semilla 43734 --raiz 528 --densidad 1.4 &amp;&amp; python3 03-composicion/ambiente.py audio/OBRA-012_528_shin.wav audio/OBRA-012_final.wav --fondo mar --nivel-fondo -7 --nivel-capa 2 --capa audio/OBRA-012_capa.wav</t>
        </is>
      </c>
      <c r="U13" s="4" t="inlineStr">
        <is>
          <t>publicada</t>
        </is>
      </c>
      <c r="V13" s="4" t="inlineStr">
        <is>
          <t>2026-09-23</t>
        </is>
      </c>
      <c r="W13" s="4" t="inlineStr"/>
      <c r="X13" s="4" t="inlineStr"/>
      <c r="Y13" s="5">
        <f>IFERROR(X13/W13*1000,"")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3" t="inlineStr">
        <is>
          <t>python3 03-composicion/compositor.py --minutos 20 --raiz 432 --modo hirajoshi --semilla 627771 --caracter sin-cuenco</t>
        </is>
      </c>
      <c r="T14" s="2" t="inlineStr">
        <is>
          <t>python3 03-composicion/capas.py aves 1240 audio/OBRA-013_capa.wav --semilla 627771 --raiz 432 &amp;&amp; python3 03-composicion/ambiente.py audio/OBRA-013_432_hirajoshi.wav audio/OBRA-013_final.wav --fondo mar --nivel-capa -4 --capa audio/OBRA-013_capa.wav</t>
        </is>
      </c>
      <c r="U14" s="4" t="inlineStr">
        <is>
          <t>pendiente</t>
        </is>
      </c>
      <c r="V14" s="4" t="inlineStr"/>
      <c r="W14" s="4" t="inlineStr"/>
      <c r="X14" s="4" t="inlineStr"/>
      <c r="Y14" s="5">
        <f>IFERROR(X14/W14*1000,"")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3" t="inlineStr">
        <is>
          <t>python3 03-composicion/compositor.py --minutos 20 --raiz 528 --modo yo --semilla 310137 --caracter sin-cuenco</t>
        </is>
      </c>
      <c r="T15" s="2" t="inlineStr">
        <is>
          <t>python3 03-composicion/capas.py zen 1240 audio/OBRA-014_capa.wav --semilla 310137 --raiz 528 --densidad 1.4 &amp;&amp; python3 03-composicion/ambiente.py audio/OBRA-014_528_yo.wav audio/OBRA-014_final.wav --fondo mar --nivel-fondo -7 --nivel-capa 2 --capa audio/OBRA-014_capa.wav</t>
        </is>
      </c>
      <c r="U15" s="4" t="inlineStr">
        <is>
          <t>pendiente</t>
        </is>
      </c>
      <c r="V15" s="4" t="inlineStr"/>
      <c r="W15" s="4" t="inlineStr"/>
      <c r="X15" s="4" t="inlineStr"/>
      <c r="Y15" s="5">
        <f>IFERROR(X15/W15*1000,"")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3" t="inlineStr">
        <is>
          <t>python3 03-composicion/compositor.py --minutos 15 --raiz 639 --modo yo --semilla 592463 --caracter sin-cuenco</t>
        </is>
      </c>
      <c r="T16" s="2" t="inlineStr">
        <is>
          <t>python3 03-composicion/capas.py aves 940 audio/OBRA-015_capa.wav --semilla 592463 --raiz 639 &amp;&amp; python3 03-composicion/ambiente.py audio/OBRA-015_639_yo.wav audio/OBRA-015_final.wav --fondo mar --nivel-capa -4 --capa audio/OBRA-015_capa.wav</t>
        </is>
      </c>
      <c r="U16" s="4" t="inlineStr">
        <is>
          <t>publicada</t>
        </is>
      </c>
      <c r="V16" s="4" t="inlineStr">
        <is>
          <t>2026-09-23</t>
        </is>
      </c>
      <c r="W16" s="4" t="inlineStr"/>
      <c r="X16" s="4" t="inlineStr"/>
      <c r="Y16" s="5">
        <f>IFERROR(X16/W16*1000,"")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3" t="inlineStr">
        <is>
          <t>python3 03-composicion/compositor.py --minutos 30 --raiz 417 --modo kumoi --semilla 250697 --caracter sin-cuenco</t>
        </is>
      </c>
      <c r="T17" s="2" t="inlineStr">
        <is>
          <t>python3 03-composicion/capas.py ancestral 1840 audio/OBRA-016_capa.wav --semilla 250697 --raiz 417 &amp;&amp; python3 03-composicion/ambiente.py audio/OBRA-016_417_kumoi.wav audio/OBRA-016_final.wav --fondo fuego --nivel-capa 0 --nivel-obra -20 --capa audio/OBRA-016_capa.wav</t>
        </is>
      </c>
      <c r="U17" s="4" t="inlineStr">
        <is>
          <t>pendiente</t>
        </is>
      </c>
      <c r="V17" s="4" t="inlineStr"/>
      <c r="W17" s="4" t="inlineStr"/>
      <c r="X17" s="4" t="inlineStr"/>
      <c r="Y17" s="5">
        <f>IFERROR(X17/W17*1000,"")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3" t="inlineStr">
        <is>
          <t>python3 03-composicion/compositor.py --minutos 45 --raiz 417 --modo hirajoshi --semilla 714152 --caracter sin-cuenco</t>
        </is>
      </c>
      <c r="T18" s="2" t="inlineStr">
        <is>
          <t>python3 03-composicion/capas.py zen 2740 audio/OBRA-017_capa.wav --semilla 714152 --raiz 417 --densidad 1.4 &amp;&amp; python3 03-composicion/ambiente.py audio/OBRA-017_417_hirajoshi.wav audio/OBRA-017_final.wav --fondo mar --nivel-fondo -7 --nivel-capa 2 --capa audio/OBRA-017_capa.wav</t>
        </is>
      </c>
      <c r="U18" s="4" t="inlineStr">
        <is>
          <t>pendiente</t>
        </is>
      </c>
      <c r="V18" s="4" t="inlineStr"/>
      <c r="W18" s="4" t="inlineStr"/>
      <c r="X18" s="4" t="inlineStr"/>
      <c r="Y18" s="5">
        <f>IFERROR(X18/W18*1000,"")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3" t="inlineStr">
        <is>
          <t>python3 03-composicion/compositor.py --minutos 45 --raiz 528 --modo hirajoshi --semilla 735455 --caracter sin-cuenco</t>
        </is>
      </c>
      <c r="T19" s="2" t="inlineStr">
        <is>
          <t>python3 03-composicion/capas.py zen 2740 audio/OBRA-018_capa.wav --semilla 735455 --raiz 528 --densidad 1.4 &amp;&amp; python3 03-composicion/ambiente.py audio/OBRA-018_528_hirajoshi.wav audio/OBRA-018_final.wav --fondo mar --nivel-fondo -7 --nivel-capa 2 --capa audio/OBRA-018_capa.wav</t>
        </is>
      </c>
      <c r="U19" s="4" t="inlineStr">
        <is>
          <t>pendiente</t>
        </is>
      </c>
      <c r="V19" s="4" t="inlineStr"/>
      <c r="W19" s="4" t="inlineStr"/>
      <c r="X19" s="4" t="inlineStr"/>
      <c r="Y19" s="5">
        <f>IFERROR(X19/W19*1000,"")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3" t="inlineStr">
        <is>
          <t>python3 03-composicion/compositor.py --minutos 60 --raiz 432 --modo shin --semilla 627577 --caracter sin-cuenco</t>
        </is>
      </c>
      <c r="T20" s="2" t="inlineStr">
        <is>
          <t>python3 03-composicion/capas.py zen 3640 audio/OBRA-019_capa.wav --semilla 627577 --raiz 432 --densidad 1.4 &amp;&amp; python3 03-composicion/ambiente.py audio/OBRA-019_432_shin.wav audio/OBRA-019_final.wav --fondo mar --nivel-fondo -7 --nivel-capa 2 --capa audio/OBRA-019_capa.wav</t>
        </is>
      </c>
      <c r="U20" s="4" t="inlineStr">
        <is>
          <t>pendiente</t>
        </is>
      </c>
      <c r="V20" s="4" t="inlineStr"/>
      <c r="W20" s="4" t="inlineStr"/>
      <c r="X20" s="4" t="inlineStr"/>
      <c r="Y20" s="5">
        <f>IFERROR(X20/W20*1000,"")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3" t="inlineStr">
        <is>
          <t>python3 03-composicion/compositor.py --minutos 30 --raiz 528 --modo shin --semilla 632595 --caracter sin-cuenco</t>
        </is>
      </c>
      <c r="T21" s="2" t="inlineStr">
        <is>
          <t>python3 03-composicion/capas.py ancestral 1840 audio/OBRA-020_capa.wav --semilla 632595 --raiz 528 &amp;&amp; python3 03-composicion/ambiente.py audio/OBRA-020_528_shin.wav audio/OBRA-020_final.wav --fondo fuego --nivel-capa 0 --nivel-obra -20 --capa audio/OBRA-020_capa.wav</t>
        </is>
      </c>
      <c r="U21" s="4" t="inlineStr">
        <is>
          <t>publicada</t>
        </is>
      </c>
      <c r="V21" s="4" t="inlineStr">
        <is>
          <t>2026-09-24</t>
        </is>
      </c>
      <c r="W21" s="4" t="inlineStr"/>
      <c r="X21" s="4" t="inlineStr"/>
      <c r="Y21" s="5">
        <f>IFERROR(X21/W21*1000,"")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3" t="inlineStr">
        <is>
          <t>python3 03-composicion/compositor.py --minutos 45 --raiz 396 --modo kumoi --semilla 864630 --caracter sin-cuenco</t>
        </is>
      </c>
      <c r="T22" s="2" t="inlineStr">
        <is>
          <t>python3 03-composicion/capas.py zen 2740 audio/OBRA-021_capa.wav --semilla 864630 --raiz 396 --densidad 1.4 &amp;&amp; python3 03-composicion/ambiente.py audio/OBRA-021_396_kumoi.wav audio/OBRA-021_final.wav --fondo mar --nivel-fondo -7 --nivel-capa 2 --capa audio/OBRA-021_capa.wav</t>
        </is>
      </c>
      <c r="U22" s="4" t="inlineStr">
        <is>
          <t>pendiente</t>
        </is>
      </c>
      <c r="V22" s="4" t="inlineStr"/>
      <c r="W22" s="4" t="inlineStr"/>
      <c r="X22" s="4" t="inlineStr"/>
      <c r="Y22" s="5">
        <f>IFERROR(X22/W22*1000,"")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3" t="inlineStr">
        <is>
          <t>python3 03-composicion/compositor.py --minutos 60 --raiz 639 --modo yo --semilla 335798 --caracter sin-cuenco</t>
        </is>
      </c>
      <c r="T23" s="2" t="inlineStr">
        <is>
          <t>python3 03-composicion/capas.py zen 3640 audio/OBRA-022_capa.wav --semilla 335798 --raiz 639 --densidad 1.4 &amp;&amp; python3 03-composicion/ambiente.py audio/OBRA-022_639_yo.wav audio/OBRA-022_final.wav --fondo mar --nivel-fondo -7 --nivel-capa 2 --capa audio/OBRA-022_capa.wav</t>
        </is>
      </c>
      <c r="U23" s="4" t="inlineStr">
        <is>
          <t>pendiente</t>
        </is>
      </c>
      <c r="V23" s="4" t="inlineStr"/>
      <c r="W23" s="4" t="inlineStr"/>
      <c r="X23" s="4" t="inlineStr"/>
      <c r="Y23" s="5">
        <f>IFERROR(X23/W23*1000,"")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3" t="inlineStr">
        <is>
          <t>python3 03-composicion/compositor.py --minutos 20 --raiz 528 --modo shin --semilla 299306 --caracter sin-cuenco</t>
        </is>
      </c>
      <c r="T24" s="2" t="inlineStr">
        <is>
          <t>python3 03-composicion/capas.py zen 1240 audio/OBRA-023_capa.wav --semilla 299306 --raiz 528 --densidad 1.4 &amp;&amp; python3 03-composicion/ambiente.py audio/OBRA-023_528_shin.wav audio/OBRA-023_final.wav --fondo mar --nivel-fondo -7 --nivel-capa 2 --capa audio/OBRA-023_capa.wav</t>
        </is>
      </c>
      <c r="U24" s="4" t="inlineStr">
        <is>
          <t>pendiente</t>
        </is>
      </c>
      <c r="V24" s="4" t="inlineStr"/>
      <c r="W24" s="4" t="inlineStr"/>
      <c r="X24" s="4" t="inlineStr"/>
      <c r="Y24" s="5">
        <f>IFERROR(X24/W24*1000,"")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3" t="inlineStr">
        <is>
          <t>python3 03-composicion/compositor.py --minutos 60 --raiz 432 --modo kumoi --semilla 926202 --caracter sin-cuenco</t>
        </is>
      </c>
      <c r="T25" s="2" t="inlineStr">
        <is>
          <t>python3 03-composicion/capas.py ancestral 3640 audio/OBRA-024_capa.wav --semilla 926202 --raiz 432 &amp;&amp; python3 03-composicion/ambiente.py audio/OBRA-024_432_kumoi.wav audio/OBRA-024_final.wav --fondo fuego --nivel-capa 0 --nivel-obra -20 --capa audio/OBRA-024_capa.wav</t>
        </is>
      </c>
      <c r="U25" s="4" t="inlineStr">
        <is>
          <t>pendiente</t>
        </is>
      </c>
      <c r="V25" s="4" t="inlineStr"/>
      <c r="W25" s="4" t="inlineStr"/>
      <c r="X25" s="4" t="inlineStr"/>
      <c r="Y25" s="5">
        <f>IFERROR(X25/W25*1000,"")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3" t="inlineStr">
        <is>
          <t>python3 03-composicion/compositor.py --minutos 60 --raiz 528 --modo hirajoshi --semilla 454078 --caracter sin-cuenco</t>
        </is>
      </c>
      <c r="T26" s="2" t="inlineStr">
        <is>
          <t>python3 03-composicion/capas.py aves 3640 audio/OBRA-025_capa.wav --semilla 454078 --raiz 528 &amp;&amp; python3 03-composicion/ambiente.py audio/OBRA-025_528_hirajoshi.wav audio/OBRA-025_final.wav --fondo mar --nivel-capa -4 --capa audio/OBRA-025_capa.wav</t>
        </is>
      </c>
      <c r="U26" s="4" t="inlineStr">
        <is>
          <t>pendiente</t>
        </is>
      </c>
      <c r="V26" s="4" t="inlineStr"/>
      <c r="W26" s="4" t="inlineStr"/>
      <c r="X26" s="4" t="inlineStr"/>
      <c r="Y26" s="5">
        <f>IFERROR(X26/W26*1000,"")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3" t="inlineStr">
        <is>
          <t>python3 03-composicion/compositor.py --minutos 60 --raiz 432 --modo kumoi --semilla 146597 --caracter sin-cuenco</t>
        </is>
      </c>
      <c r="T27" s="2" t="inlineStr">
        <is>
          <t>python3 03-composicion/ambiente.py audio/OBRA-026_432_kumoi.wav audio/OBRA-026_final.wav --fondo mar</t>
        </is>
      </c>
      <c r="U27" s="4" t="inlineStr">
        <is>
          <t>pendiente</t>
        </is>
      </c>
      <c r="V27" s="4" t="inlineStr"/>
      <c r="W27" s="4" t="inlineStr"/>
      <c r="X27" s="4" t="inlineStr"/>
      <c r="Y27" s="5">
        <f>IFERROR(X27/W27*1000,"")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3" t="inlineStr">
        <is>
          <t>python3 03-composicion/compositor.py --minutos 60 --raiz 396 --modo kumoi --semilla 338018 --caracter sin-cuenco</t>
        </is>
      </c>
      <c r="T28" s="2" t="inlineStr">
        <is>
          <t>python3 03-composicion/capas.py ancestral 3640 audio/OBRA-027_capa.wav --semilla 338018 --raiz 396 &amp;&amp; python3 03-composicion/ambiente.py audio/OBRA-027_396_kumoi.wav audio/OBRA-027_final.wav --fondo fuego --nivel-capa 0 --nivel-obra -20 --capa audio/OBRA-027_capa.wav</t>
        </is>
      </c>
      <c r="U28" s="4" t="inlineStr">
        <is>
          <t>pendiente</t>
        </is>
      </c>
      <c r="V28" s="4" t="inlineStr"/>
      <c r="W28" s="4" t="inlineStr"/>
      <c r="X28" s="4" t="inlineStr"/>
      <c r="Y28" s="5">
        <f>IFERROR(X28/W28*1000,"")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3" t="inlineStr">
        <is>
          <t>python3 03-composicion/compositor.py --minutos 45 --raiz 417 --modo hirajoshi --semilla 409966 --caracter sin-cuenco</t>
        </is>
      </c>
      <c r="T29" s="2" t="inlineStr">
        <is>
          <t>python3 03-composicion/capas.py zen 2740 audio/OBRA-028_capa.wav --semilla 409966 --raiz 417 --densidad 1.4 &amp;&amp; python3 03-composicion/ambiente.py audio/OBRA-028_417_hirajoshi.wav audio/OBRA-028_final.wav --fondo mar --nivel-fondo -7 --nivel-capa 2 --capa audio/OBRA-028_capa.wav</t>
        </is>
      </c>
      <c r="U29" s="4" t="inlineStr">
        <is>
          <t>pendiente</t>
        </is>
      </c>
      <c r="V29" s="4" t="inlineStr"/>
      <c r="W29" s="4" t="inlineStr"/>
      <c r="X29" s="4" t="inlineStr"/>
      <c r="Y29" s="5">
        <f>IFERROR(X29/W29*1000,"")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3" t="inlineStr">
        <is>
          <t>python3 03-composicion/compositor.py --minutos 60 --raiz 639 --modo yo --semilla 133046 --caracter sin-cuenco</t>
        </is>
      </c>
      <c r="T30" s="2" t="inlineStr">
        <is>
          <t>python3 03-composicion/capas.py aves 3640 audio/OBRA-029_capa.wav --semilla 133046 --raiz 639 --densidad 2 &amp;&amp; python3 03-composicion/ambiente.py audio/OBRA-029_639_yo.wav audio/OBRA-029_final.wav --fondo selva --nivel-capa -2 --capa audio/OBRA-029_capa.wav</t>
        </is>
      </c>
      <c r="U30" s="4" t="inlineStr">
        <is>
          <t>pendiente</t>
        </is>
      </c>
      <c r="V30" s="4" t="inlineStr"/>
      <c r="W30" s="4" t="inlineStr"/>
      <c r="X30" s="4" t="inlineStr"/>
      <c r="Y30" s="5">
        <f>IFERROR(X30/W30*1000,"")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3" t="inlineStr">
        <is>
          <t>python3 03-composicion/compositor.py --minutos 45 --raiz 741 --modo yo --semilla 244487 --caracter sin-cuenco</t>
        </is>
      </c>
      <c r="T31" s="2" t="inlineStr">
        <is>
          <t>python3 03-composicion/capas.py aves 2740 audio/OBRA-030_capa.wav --semilla 244487 --raiz 741 &amp;&amp; python3 03-composicion/ambiente.py audio/OBRA-030_741_yo.wav audio/OBRA-030_final.wav --fondo mar --nivel-capa -4 --capa audio/OBRA-030_capa.wav</t>
        </is>
      </c>
      <c r="U31" s="4" t="inlineStr">
        <is>
          <t>pendiente</t>
        </is>
      </c>
      <c r="V31" s="4" t="inlineStr"/>
      <c r="W31" s="4" t="inlineStr"/>
      <c r="X31" s="4" t="inlineStr"/>
      <c r="Y31" s="5">
        <f>IFERROR(X31/W31*1000,"")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3" t="inlineStr">
        <is>
          <t>python3 03-composicion/compositor.py --minutos 45 --raiz 852 --modo hirajoshi --semilla 288169 --caracter sin-cuenco</t>
        </is>
      </c>
      <c r="T32" s="2" t="inlineStr">
        <is>
          <t>python3 03-composicion/capas.py zen 2740 audio/OBRA-031_capa.wav --semilla 288169 --raiz 852 --densidad 1.4 &amp;&amp; python3 03-composicion/ambiente.py audio/OBRA-031_852_hirajoshi.wav audio/OBRA-031_final.wav --fondo mar --nivel-fondo -7 --nivel-capa 2 --capa audio/OBRA-031_capa.wav</t>
        </is>
      </c>
      <c r="U32" s="4" t="inlineStr">
        <is>
          <t>pendiente</t>
        </is>
      </c>
      <c r="V32" s="4" t="inlineStr"/>
      <c r="W32" s="4" t="inlineStr"/>
      <c r="X32" s="4" t="inlineStr"/>
      <c r="Y32" s="5">
        <f>IFERROR(X32/W32*1000,"")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3" t="inlineStr">
        <is>
          <t>python3 03-composicion/compositor.py --minutos 180 --raiz 528 --modo hirajoshi --semilla 638156 --caracter sin-cuenco</t>
        </is>
      </c>
      <c r="T33" s="2" t="inlineStr">
        <is>
          <t>python3 03-composicion/capas.py aves 10840 audio/OBRA-032_capa.wav --semilla 638156 --raiz 528 &amp;&amp; python3 03-composicion/ambiente.py audio/OBRA-032_528_hirajoshi.wav audio/OBRA-032_final.wav --fondo mar --nivel-capa -4 --capa audio/OBRA-032_capa.wav</t>
        </is>
      </c>
      <c r="U33" s="4" t="inlineStr">
        <is>
          <t>pendiente</t>
        </is>
      </c>
      <c r="V33" s="4" t="inlineStr"/>
      <c r="W33" s="4" t="inlineStr"/>
      <c r="X33" s="4" t="inlineStr"/>
      <c r="Y33" s="5">
        <f>IFERROR(X33/W33*1000,"")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3" t="inlineStr">
        <is>
          <t>python3 03-composicion/compositor.py --minutos 120 --raiz 639 --modo yo --semilla 112334 --caracter sin-cuenco --registro grave</t>
        </is>
      </c>
      <c r="T34" s="2" t="inlineStr">
        <is>
          <t>python3 03-composicion/capas.py aves 7240 audio/OBRA-033_capa.wav --semilla 112334 --raiz 639 --densidad 2 &amp;&amp; python3 03-composicion/ambiente.py audio/OBRA-033_639_yo.wav audio/OBRA-033_final.wav --fondo selva --nivel-capa -2 --capa audio/OBRA-033_capa.wav</t>
        </is>
      </c>
      <c r="U34" s="4" t="inlineStr">
        <is>
          <t>pendiente</t>
        </is>
      </c>
      <c r="V34" s="4" t="inlineStr"/>
      <c r="W34" s="4" t="inlineStr"/>
      <c r="X34" s="4" t="inlineStr"/>
      <c r="Y34" s="5">
        <f>IFERROR(X34/W34*1000,"")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3" t="inlineStr">
        <is>
          <t>python3 03-composicion/compositor.py --minutos 180 --raiz 528 --modo yo --semilla 249239 --caracter sin-cuenco --registro grave</t>
        </is>
      </c>
      <c r="T35" s="2" t="inlineStr">
        <is>
          <t>python3 03-composicion/capas.py aves 10840 audio/OBRA-034_capa.wav --semilla 249239 --raiz 528 &amp;&amp; python3 03-composicion/ambiente.py audio/OBRA-034_528_yo.wav audio/OBRA-034_final.wav --fondo mar --nivel-capa -4 --capa audio/OBRA-034_capa.wav</t>
        </is>
      </c>
      <c r="U35" s="4" t="inlineStr">
        <is>
          <t>pendiente</t>
        </is>
      </c>
      <c r="V35" s="4" t="inlineStr"/>
      <c r="W35" s="4" t="inlineStr"/>
      <c r="X35" s="4" t="inlineStr"/>
      <c r="Y35" s="5">
        <f>IFERROR(X35/W35*1000,"")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3" t="inlineStr">
        <is>
          <t>python3 03-composicion/compositor.py --minutos 120 --raiz 741 --modo yo --semilla 74636 --caracter sin-cuenco --registro grave</t>
        </is>
      </c>
      <c r="T36" s="2" t="inlineStr">
        <is>
          <t>python3 03-composicion/capas.py aves 7240 audio/OBRA-035_capa.wav --semilla 74636 --raiz 741 --densidad 2 &amp;&amp; python3 03-composicion/ambiente.py audio/OBRA-035_741_yo.wav audio/OBRA-035_final.wav --fondo selva --nivel-capa -2 --capa audio/OBRA-035_capa.wav</t>
        </is>
      </c>
      <c r="U36" s="4" t="inlineStr">
        <is>
          <t>pendiente</t>
        </is>
      </c>
      <c r="V36" s="4" t="inlineStr"/>
      <c r="W36" s="4" t="inlineStr"/>
      <c r="X36" s="4" t="inlineStr"/>
      <c r="Y36" s="5">
        <f>IFERROR(X36/W36*1000,"")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3" t="inlineStr">
        <is>
          <t>python3 03-composicion/compositor.py --minutos 90 --raiz 852 --modo yo --semilla 903477 --caracter sin-cuenco --registro grave</t>
        </is>
      </c>
      <c r="T37" s="2" t="inlineStr">
        <is>
          <t>python3 03-composicion/capas.py aves 5440 audio/OBRA-036_capa.wav --semilla 903477 --raiz 852 &amp;&amp; python3 03-composicion/ambiente.py audio/OBRA-036_852_yo.wav audio/OBRA-036_final.wav --fondo mar --nivel-capa -4 --capa audio/OBRA-036_capa.wav</t>
        </is>
      </c>
      <c r="U37" s="4" t="inlineStr">
        <is>
          <t>pendiente</t>
        </is>
      </c>
      <c r="V37" s="4" t="inlineStr"/>
      <c r="W37" s="4" t="inlineStr"/>
      <c r="X37" s="4" t="inlineStr"/>
      <c r="Y37" s="5">
        <f>IFERROR(X37/W37*1000,"")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3" t="inlineStr">
        <is>
          <t>python3 03-composicion/compositor.py --minutos 120 --raiz 432 --modo yo --semilla 718809 --caracter sin-cuenco --registro grave</t>
        </is>
      </c>
      <c r="T38" s="2" t="inlineStr">
        <is>
          <t>python3 03-composicion/capas.py aves 7240 audio/OBRA-037_capa.wav --semilla 718809 --raiz 432 --densidad 2 &amp;&amp; python3 03-composicion/ambiente.py audio/OBRA-037_432_yo.wav audio/OBRA-037_final.wav --fondo selva --nivel-capa -2 --capa audio/OBRA-037_capa.wav</t>
        </is>
      </c>
      <c r="U38" s="4" t="inlineStr">
        <is>
          <t>pendiente</t>
        </is>
      </c>
      <c r="V38" s="4" t="inlineStr"/>
      <c r="W38" s="4" t="inlineStr"/>
      <c r="X38" s="4" t="inlineStr"/>
      <c r="Y38" s="5">
        <f>IFERROR(X38/W38*1000,"")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3" t="inlineStr">
        <is>
          <t>python3 03-composicion/compositor.py --minutos 120 --raiz 528 --modo shin --semilla 203246 --caracter sin-cuenco --registro grave</t>
        </is>
      </c>
      <c r="T39" s="2" t="inlineStr">
        <is>
          <t>python3 03-composicion/ambiente.py audio/OBRA-038_528_shin.wav audio/OBRA-038_final.wav --fondo mar</t>
        </is>
      </c>
      <c r="U39" s="4" t="inlineStr">
        <is>
          <t>pendiente</t>
        </is>
      </c>
      <c r="V39" s="4" t="inlineStr"/>
      <c r="W39" s="4" t="inlineStr"/>
      <c r="X39" s="4" t="inlineStr"/>
      <c r="Y39" s="5">
        <f>IFERROR(X39/W39*1000,"")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3" t="inlineStr">
        <is>
          <t>python3 03-composicion/compositor.py --minutos 90 --raiz 639 --modo yo --semilla 281608 --caracter sin-cuenco --registro grave</t>
        </is>
      </c>
      <c r="T40" s="2" t="inlineStr">
        <is>
          <t>python3 03-composicion/capas.py aves 5440 audio/OBRA-039_capa.wav --semilla 281608 --raiz 639 --densidad 2 &amp;&amp; python3 03-composicion/ambiente.py audio/OBRA-039_639_yo.wav audio/OBRA-039_final.wav --fondo selva --nivel-capa -2 --capa audio/OBRA-039_capa.wav</t>
        </is>
      </c>
      <c r="U40" s="4" t="inlineStr">
        <is>
          <t>pendiente</t>
        </is>
      </c>
      <c r="V40" s="4" t="inlineStr"/>
      <c r="W40" s="4" t="inlineStr"/>
      <c r="X40" s="4" t="inlineStr"/>
      <c r="Y40" s="5">
        <f>IFERROR(X40/W40*1000,"")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3" t="inlineStr">
        <is>
          <t>python3 03-composicion/compositor.py --minutos 180 --raiz 741 --modo yo --semilla 883876 --caracter sin-cuenco --registro grave</t>
        </is>
      </c>
      <c r="T41" s="2" t="inlineStr">
        <is>
          <t>python3 03-composicion/capas.py aves 10840 audio/OBRA-040_capa.wav --semilla 883876 --raiz 741 &amp;&amp; python3 03-composicion/ambiente.py audio/OBRA-040_741_yo.wav audio/OBRA-040_final.wav --fondo mar --nivel-capa -4 --capa audio/OBRA-040_capa.wav</t>
        </is>
      </c>
      <c r="U41" s="4" t="inlineStr">
        <is>
          <t>pendiente</t>
        </is>
      </c>
      <c r="V41" s="4" t="inlineStr"/>
      <c r="W41" s="4" t="inlineStr"/>
      <c r="X41" s="4" t="inlineStr"/>
      <c r="Y41" s="5">
        <f>IFERROR(X41/W41*1000,"")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3" t="inlineStr">
        <is>
          <t>python3 03-composicion/compositor.py --minutos 60 --raiz 432 --modo hirajoshi --semilla 304617 --caracter sin-cuenco</t>
        </is>
      </c>
      <c r="T42" s="2" t="inlineStr">
        <is>
          <t>python3 03-composicion/capas.py jardin 3640 audio/OBRA-041_capa.wav --semilla 304617 --raiz 432 &amp;&amp; python3 03-composicion/ambiente.py audio/OBRA-041_432_hirajoshi.wav audio/OBRA-041_final.wav --fondo mar --nivel-fondo -8 --nivel-capa 0 --capa audio/OBRA-041_capa.wav</t>
        </is>
      </c>
      <c r="U42" s="4" t="inlineStr">
        <is>
          <t>publicada</t>
        </is>
      </c>
      <c r="V42" s="4" t="inlineStr">
        <is>
          <t>2026-09-27</t>
        </is>
      </c>
      <c r="W42" s="4" t="inlineStr"/>
      <c r="X42" s="4" t="inlineStr"/>
      <c r="Y42" s="5">
        <f>IFERROR(X42/W42*1000,"")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3" t="inlineStr">
        <is>
          <t>python3 03-composicion/compositor.py --minutos 180 --raiz 528 --modo shin --semilla 266691 --caracter sin-cuenco</t>
        </is>
      </c>
      <c r="T43" s="2" t="inlineStr">
        <is>
          <t>python3 03-composicion/capas.py zen 10840 audio/OBRA-042_capa.wav --semilla 266691 --raiz 528 --densidad 1.4 &amp;&amp; python3 03-composicion/ambiente.py audio/OBRA-042_528_shin.wav audio/OBRA-042_final.wav --fondo mar --nivel-fondo -7 --nivel-capa 2 --capa audio/OBRA-042_capa.wav</t>
        </is>
      </c>
      <c r="U43" s="4" t="inlineStr">
        <is>
          <t>publicada</t>
        </is>
      </c>
      <c r="V43" s="4" t="inlineStr">
        <is>
          <t>2026-09-28</t>
        </is>
      </c>
      <c r="W43" s="4" t="inlineStr"/>
      <c r="X43" s="4" t="inlineStr"/>
      <c r="Y43" s="5">
        <f>IFERROR(X43/W43*1000,"")</f>
        <v/>
      </c>
    </row>
  </sheetData>
  <autoFilter ref="A1:Y4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sheetData>
  <autoFilter ref="A1:S2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COUNTA(Catálogo!A2:A43)</f>
        <v/>
      </c>
    </row>
    <row r="3">
      <c r="A3" s="7" t="inlineStr">
        <is>
          <t>Pendientes</t>
        </is>
      </c>
      <c r="B3" s="7">
        <f>COUNTIF(Catálogo!U2:U43,"pendiente")</f>
        <v/>
      </c>
    </row>
    <row r="4">
      <c r="A4" s="7" t="inlineStr">
        <is>
          <t>Compuestas</t>
        </is>
      </c>
      <c r="B4" s="7">
        <f>COUNTIF(Catálogo!U2:U43,"compuesta")</f>
        <v/>
      </c>
    </row>
    <row r="5">
      <c r="A5" s="7" t="inlineStr">
        <is>
          <t>Montadas</t>
        </is>
      </c>
      <c r="B5" s="7">
        <f>COUNTIF(Catálogo!U2:U43,"montada")</f>
        <v/>
      </c>
    </row>
    <row r="6">
      <c r="A6" s="7" t="inlineStr">
        <is>
          <t>Publicadas</t>
        </is>
      </c>
      <c r="B6" s="7">
        <f>COUNTIF(Catálogo!U2:U43,"publicada")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COUNTIF(Catálogo!D2:D43,A10)</f>
        <v/>
      </c>
      <c r="C10" s="7">
        <f>COUNTIFS(Catálogo!D2:D43,A10,Catálogo!U2:U43,"publicada")</f>
        <v/>
      </c>
      <c r="D10" s="7">
        <f>SUMIF(Catálogo!D2:D43,A10,Catálogo!R2:R43)</f>
        <v/>
      </c>
    </row>
    <row r="11">
      <c r="A11" s="7" t="inlineStr">
        <is>
          <t>Ansiedad</t>
        </is>
      </c>
      <c r="B11" s="7">
        <f>COUNTIF(Catálogo!D2:D43,A11)</f>
        <v/>
      </c>
      <c r="C11" s="7">
        <f>COUNTIFS(Catálogo!D2:D43,A11,Catálogo!U2:U43,"publicada")</f>
        <v/>
      </c>
      <c r="D11" s="7">
        <f>SUMIF(Catálogo!D2:D43,A11,Catálogo!R2:R43)</f>
        <v/>
      </c>
    </row>
    <row r="12">
      <c r="A12" s="7" t="inlineStr">
        <is>
          <t>Meditar</t>
        </is>
      </c>
      <c r="B12" s="7">
        <f>COUNTIF(Catálogo!D2:D43,A12)</f>
        <v/>
      </c>
      <c r="C12" s="7">
        <f>COUNTIFS(Catálogo!D2:D43,A12,Catálogo!U2:U43,"publicada")</f>
        <v/>
      </c>
      <c r="D12" s="7">
        <f>SUMIF(Catálogo!D2:D43,A12,Catálogo!R2:R43)</f>
        <v/>
      </c>
    </row>
    <row r="13">
      <c r="A13" s="7" t="inlineStr">
        <is>
          <t>Soltar</t>
        </is>
      </c>
      <c r="B13" s="7">
        <f>COUNTIF(Catálogo!D2:D43,A13)</f>
        <v/>
      </c>
      <c r="C13" s="7">
        <f>COUNTIFS(Catálogo!D2:D43,A13,Catálogo!U2:U43,"publicada")</f>
        <v/>
      </c>
      <c r="D13" s="7">
        <f>SUMIF(Catálogo!D2:D43,A13,Catálogo!R2:R43)</f>
        <v/>
      </c>
    </row>
    <row r="14">
      <c r="A14" s="7" t="inlineStr">
        <is>
          <t>Concentración</t>
        </is>
      </c>
      <c r="B14" s="7">
        <f>COUNTIF(Catálogo!D2:D43,A14)</f>
        <v/>
      </c>
      <c r="C14" s="7">
        <f>COUNTIFS(Catálogo!D2:D43,A14,Catálogo!U2:U43,"publicada")</f>
        <v/>
      </c>
      <c r="D14" s="7">
        <f>SUMIF(Catálogo!D2:D43,A14,Catálogo!R2:R43)</f>
        <v/>
      </c>
    </row>
    <row r="15">
      <c r="A15" s="8" t="inlineStr">
        <is>
          <t>TOTAL</t>
        </is>
      </c>
      <c r="B15" s="8">
        <f>SUM(B10:B14)</f>
        <v/>
      </c>
      <c r="C15" s="8">
        <f>SUM(C10:C14)</f>
        <v/>
      </c>
      <c r="D15" s="8">
        <f>SUM(D10:D14)</f>
        <v/>
      </c>
    </row>
    <row r="17">
      <c r="A17" s="6" t="inlineStr">
        <is>
          <t>Rendimiento</t>
        </is>
      </c>
    </row>
    <row r="18">
      <c r="A18" s="7" t="inlineStr">
        <is>
          <t>Vistas totales</t>
        </is>
      </c>
      <c r="B18" s="7">
        <f>SUM(Catálogo!W2:W43)</f>
        <v/>
      </c>
    </row>
    <row r="19">
      <c r="A19" s="7" t="inlineStr">
        <is>
          <t>Suscriptores totales</t>
        </is>
      </c>
      <c r="B19" s="7">
        <f>SUM(Catálogo!X2:X43)</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o jardin.</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Hoja Shorts</t>
        </is>
      </c>
      <c r="B26" s="11" t="inlineStr">
        <is>
          <t>5 por obra. Cada uno cambia de tramo de la obra, encuadre, instante del mandala y frase.</t>
        </is>
      </c>
    </row>
    <row r="27">
      <c r="A27" s="8" t="inlineStr">
        <is>
          <t>tiktok_portada</t>
        </is>
      </c>
      <c r="B27" s="11" t="inlineStr">
        <is>
          <t>El título de la portada en TikTok (el que se ve en el perfil). Distinto de la descripción.</t>
        </is>
      </c>
    </row>
    <row r="28">
      <c r="A28" s="8" t="inlineStr">
        <is>
          <t>tiktok_descripcion</t>
        </is>
      </c>
      <c r="B28" s="11" t="inlineStr">
        <is>
          <t>El texto que acompaña al video en TikTok, con hashtags. En Metricool, nunca en el campo título.</t>
        </is>
      </c>
    </row>
    <row r="29">
      <c r="A29" s="8" t="inlineStr">
        <is>
          <t>yt_video_relacionado</t>
        </is>
      </c>
      <c r="B29" s="11" t="inlineStr">
        <is>
          <t>El video largo. En YouTube Studio va en «Video relacionado» del Short.</t>
        </is>
      </c>
    </row>
    <row r="30">
      <c r="A30" s="6" t="inlineStr"/>
    </row>
    <row r="31">
      <c r="A31" s="8" t="inlineStr">
        <is>
          <t>Ejemplo de fila rellenada</t>
        </is>
      </c>
      <c r="B31"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2026-09-28T04:52:04Z</dcterms:created>
  <dcterms:modified xsi:type="dcterms:W3CDTF">2026-09-28T04:52:04Z</dcterms:modified>
</cp:coreProperties>
</file>