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'Catálogo'!$A$1:$AA$50</definedName>
    <definedName name="_xlnm._FilterDatabase" localSheetId="1" hidden="1">'Shorts'!$A$1:$S$316</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-7 --nivel-capa 2 --capa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-7 --nivel-capa 2 --capa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-7 --nivel-capa 2 --capa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-7 --nivel-capa 2 --capa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-7 --nivel-capa 2 --capa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-7 --nivel-capa 2 --capa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-7 --nivel-capa 2 --capa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-7 --nivel-capa 2 --capa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-7 --nivel-capa 2 --capa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-7 --nivel-capa 2 --capa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-7 --nivel-capa 2 --capa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-8 --nivel-capa 0 --capa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-7 --nivel-capa 2 --capa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pendiente</t>
        </is>
      </c>
      <c r="X45" s="4" t="inlineStr"/>
      <c r="Y45" s="4" t="inlineStr"/>
      <c r="Z45" s="4" t="inlineStr"/>
      <c r="AA45" s="5">
        <f>IFERROR(Z45/Y45*1000,"")</f>
        <v/>
      </c>
    </row>
    <row r="46" ht="58" customHeight="1">
      <c r="A46" s="2" t="inlineStr">
        <is>
          <t>OBRA-045</t>
        </is>
      </c>
      <c r="B46" s="3" t="inlineStr">
        <is>
          <t>Woke Up at 3 AM? 🌙 Chinese Guqin &amp; Rain to Fall Back Asleep · Dark Screen · 3 Hours</t>
        </is>
      </c>
      <c r="C46" s="2" t="inlineStr">
        <is>
          <t>Música para dormir · Guqin y lluvia · 432 Hz · Las tres de la mañana · 3 horas</t>
        </is>
      </c>
      <c r="D46" s="2" t="inlineStr">
        <is>
          <t>Dormir</t>
        </is>
      </c>
      <c r="E46" s="2" t="inlineStr">
        <is>
          <t>guqin</t>
        </is>
      </c>
      <c r="F46" s="3" t="inlineStr">
        <is>
          <t>Woke up at 3 AM again? Three hours of guqin, xiao flute and gentle rain to fall back asleep.
In the Chinese body clock, 1 to 3 AM is the liver's hour: the hour of what you couldn't let go of. Don't check the time. Breathe out slowly through your lips, "shhh" (xū), six times, and let the strings take it from there. The screen fades to black after 3 minutes.
🌙 Phone face down, volume low. The music thins out over the hours, until only the rain is left.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#chinesemusic</t>
        </is>
      </c>
      <c r="G46" s="2" t="inlineStr">
        <is>
          <t>Las tres de la mañana · 3 horas
Para acompañar el sueño.
Ambiente: guqin y lluvia.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6" s="2" t="inlineStr">
        <is>
          <t>3 HOURS</t>
        </is>
      </c>
      <c r="I46" s="2" t="inlineStr">
        <is>
          <t>#sleepmusic #guqin #chinesemusic</t>
        </is>
      </c>
      <c r="J46" s="3" t="inlineStr">
        <is>
          <t>woke up at 3am, fall back asleep, music to fall back asleep, chinese sleep music, guqin, guqin music, chinese meditation music, chinese music for sleep, rain sounds for sleeping, dark screen sleep music, black screen sleep music, deep sleep music, sleep music, traditional chinese medicine, chinamaxxing, 3 hours, rin, música para dormir</t>
        </is>
      </c>
      <c r="K46" s="4" t="inlineStr"/>
      <c r="L46" s="4" t="inlineStr"/>
      <c r="M46" s="2" t="n">
        <v>432</v>
      </c>
      <c r="N46" s="2" t="inlineStr">
        <is>
          <t>yu</t>
        </is>
      </c>
      <c r="O46" s="2" t="inlineStr">
        <is>
          <t>grave</t>
        </is>
      </c>
      <c r="P46" s="2" t="n">
        <v>270978</v>
      </c>
      <c r="Q46" s="2" t="n">
        <v>0</v>
      </c>
      <c r="R46" s="2" t="n">
        <v>180</v>
      </c>
      <c r="S46" s="2" t="n">
        <v>3</v>
      </c>
      <c r="T46" s="2" t="inlineStr">
        <is>
          <t>What time did you wake up tonight? 🌙 Tell us, then press play and breathe out slowly: shhh.</t>
        </is>
      </c>
      <c r="U46" s="3" t="inlineStr">
        <is>
          <t>python3 03-composicion/tao_largo.py --minutos 180 --raiz 432 --modo yu --semilla 270978</t>
        </is>
      </c>
      <c r="V46" s="2" t="inlineStr">
        <is>
          <t>python3 03-composicion/ambiente.py audio/OBRA-045_432_yu.wav audio/OBRA-045_final.wav --fondo lluvia --nivel-obra 0 --nivel-fondo -6 --entrada-obra 6</t>
        </is>
      </c>
      <c r="W46" s="4" t="inlineStr">
        <is>
          <t>pendiente</t>
        </is>
      </c>
      <c r="X46" s="4" t="inlineStr"/>
      <c r="Y46" s="4" t="inlineStr"/>
      <c r="Z46" s="4" t="inlineStr"/>
      <c r="AA46" s="5">
        <f>IFERROR(Z46/Y46*1000,"")</f>
        <v/>
      </c>
    </row>
    <row r="47" ht="58" customHeight="1">
      <c r="A47" s="2" t="inlineStr">
        <is>
          <t>OBRA-046</t>
        </is>
      </c>
      <c r="B47" s="3" t="inlineStr">
        <is>
          <t>3 AM Reset 🌙 10 Minutes of Guqin &amp; Rain to Fall Back Asleep · Chinese Sleep Music</t>
        </is>
      </c>
      <c r="C47" s="2" t="inlineStr">
        <is>
          <t>Música para dormir · Guqin y lluvia · 432 Hz · Volver a dormir · 10 minutos</t>
        </is>
      </c>
      <c r="D47" s="2" t="inlineStr">
        <is>
          <t>Dormir</t>
        </is>
      </c>
      <c r="E47" s="2" t="inlineStr">
        <is>
          <t>guqin</t>
        </is>
      </c>
      <c r="F47" s="3" t="inlineStr">
        <is>
          <t>Woke up at 3 AM? Ten minutes of guqin, xiao flute and gentle rain to fall back asleep.
Don't check the time. Breathe out slowly through your lips, "shhh", six times, and let the strings take it from there.
🌙 Phone face down, volume low. If you're still awake at the end, the full 3 hours are on the channel.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#3am</t>
        </is>
      </c>
      <c r="G47" s="2" t="inlineStr">
        <is>
          <t>Volver a dormir · 10 minutos
Para acompañar el sueño.
Ambiente: guqin y lluvia.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7" s="2" t="inlineStr">
        <is>
          <t>10 MIN</t>
        </is>
      </c>
      <c r="I47" s="2" t="inlineStr">
        <is>
          <t>#sleepmusic #guqin #3am</t>
        </is>
      </c>
      <c r="J47" s="3" t="inlineStr">
        <is>
          <t>3am reset, fall back asleep, woke up at 3am, music to fall back asleep, guqin, chinese sleep music, 10 minute sleep music, rain sounds for sleeping, sleep music, chinese meditation music, rin, música para dormir</t>
        </is>
      </c>
      <c r="K47" s="4" t="inlineStr"/>
      <c r="L47" s="4" t="inlineStr"/>
      <c r="M47" s="2" t="n">
        <v>432</v>
      </c>
      <c r="N47" s="2" t="inlineStr">
        <is>
          <t>yu</t>
        </is>
      </c>
      <c r="O47" s="2" t="inlineStr">
        <is>
          <t>grave</t>
        </is>
      </c>
      <c r="P47" s="2" t="n">
        <v>926874</v>
      </c>
      <c r="Q47" s="2" t="n">
        <v>110</v>
      </c>
      <c r="R47" s="2" t="n">
        <v>10</v>
      </c>
      <c r="S47" s="2" t="n">
        <v>0</v>
      </c>
      <c r="T47" s="2" t="inlineStr">
        <is>
          <t>What time did you wake up tonight? 🌙 Tell us, then breathe out slowly: shhh.</t>
        </is>
      </c>
      <c r="U47" s="3" t="inlineStr">
        <is>
          <t>python3 03-composicion/tao_largo.py --minutos 10 --raiz 432 --modo yu --semilla 926874</t>
        </is>
      </c>
      <c r="V47" s="2" t="inlineStr">
        <is>
          <t>python3 03-composicion/ambiente.py audio/OBRA-046_432_yu.wav audio/OBRA-046_final.wav --fondo lluvia --nivel-obra 0 --nivel-fondo -6 --entrada-obra 6</t>
        </is>
      </c>
      <c r="W47" s="4" t="inlineStr">
        <is>
          <t>pendiente</t>
        </is>
      </c>
      <c r="X47" s="4" t="inlineStr"/>
      <c r="Y47" s="4" t="inlineStr"/>
      <c r="Z47" s="4" t="inlineStr"/>
      <c r="AA47" s="5">
        <f>IFERROR(Z47/Y47*1000,"")</f>
        <v/>
      </c>
    </row>
    <row r="48" ht="58" customHeight="1">
      <c r="A48" s="2" t="inlineStr">
        <is>
          <t>OBRA-047</t>
        </is>
      </c>
      <c r="B48" s="3" t="inlineStr">
        <is>
          <t>5-Minute Nervous System Reset 🔔 Zen Temple Bells to Calm Anxiety Fast · 528 Hz</t>
        </is>
      </c>
      <c r="C48" s="2" t="inlineStr">
        <is>
          <t>Música para momentos de ansiedad · Templo zen · 528 Hz · Reinicio de cinco minutos · 5 minutos</t>
        </is>
      </c>
      <c r="D48" s="2" t="inlineStr">
        <is>
          <t>Ansiedad</t>
        </is>
      </c>
      <c r="E48" s="2" t="inlineStr">
        <is>
          <t>zen</t>
        </is>
      </c>
      <c r="F48" s="3" t="inlineStr">
        <is>
          <t>Five minutes to calm your nervous system: zen temple bells over a warm, slow drone.
Drop your shoulders. Breathe out longer than you breathe in, and let the bells keep you company until the end.
🎧 Use it between meetings, before a hard conversation, or whenever your chest feels tight.
🌿 Subscribe for a new calm piece every week: https://www.youtube.com/@rinchanneloficial?sub_confirmation=1
Original composition by Rin, synthesized from scratch in just intonation around 528 Hz, shin mode. No samples.
#nervoussystemreset #anxietyrelief #528hz</t>
        </is>
      </c>
      <c r="G48" s="2" t="inlineStr">
        <is>
          <t>Reinicio de cinco minutos · 5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8" s="2" t="inlineStr">
        <is>
          <t>5 MIN</t>
        </is>
      </c>
      <c r="I48" s="2" t="inlineStr">
        <is>
          <t>#nervoussystemreset #anxietyrelief #528hz</t>
        </is>
      </c>
      <c r="J48" s="3" t="inlineStr">
        <is>
          <t>nervous system reset, 5 minute nervous system reset, calm anxiety fast, anxiety relief, 5 minute meditation, zen temple bells, temple bells, calming music, 528 hz, nervous system regulation, quick calm, rin, música para la ansiedad</t>
        </is>
      </c>
      <c r="K48" s="4" t="inlineStr"/>
      <c r="L48" s="4" t="inlineStr"/>
      <c r="M48" s="2" t="n">
        <v>528</v>
      </c>
      <c r="N48" s="2" t="inlineStr">
        <is>
          <t>shin</t>
        </is>
      </c>
      <c r="O48" s="2" t="inlineStr">
        <is>
          <t>medio</t>
        </is>
      </c>
      <c r="P48" s="2" t="n">
        <v>756077</v>
      </c>
      <c r="Q48" s="2" t="n">
        <v>110</v>
      </c>
      <c r="R48" s="2" t="n">
        <v>5</v>
      </c>
      <c r="S48" s="2" t="n">
        <v>0</v>
      </c>
      <c r="T48" s="2" t="inlineStr">
        <is>
          <t>Where are you listening from right now? 🔔 Work, bed, car? Tell us.</t>
        </is>
      </c>
      <c r="U48" s="3" t="inlineStr">
        <is>
          <t>python3 03-composicion/compositor.py --minutos 5 --raiz 528 --modo shin --semilla 756077 --caracter sin-cuenco</t>
        </is>
      </c>
      <c r="V48" s="2" t="inlineStr">
        <is>
          <t>python3 03-composicion/capas.py zen 340 audio/OBRA-047_capa.wav --semilla 756077 --raiz 528 --densidad 1.4 &amp;&amp; python3 03-composicion/ambiente.py audio/OBRA-047_528_shin.wav audio/OBRA-047_final.wav --fondo mar --nivel-fondo -7 --nivel-capa 2 --capa audio/OBRA-047_capa.wav</t>
        </is>
      </c>
      <c r="W48" s="4" t="inlineStr">
        <is>
          <t>pendiente</t>
        </is>
      </c>
      <c r="X48" s="4" t="inlineStr"/>
      <c r="Y48" s="4" t="inlineStr"/>
      <c r="Z48" s="4" t="inlineStr"/>
      <c r="AA48" s="5">
        <f>IFERROR(Z48/Y48*1000,"")</f>
        <v/>
      </c>
    </row>
    <row r="49" ht="58" customHeight="1">
      <c r="A49" s="2" t="inlineStr">
        <is>
          <t>OBRA-048</t>
        </is>
      </c>
      <c r="B49" s="3" t="inlineStr">
        <is>
          <t>Zen Temple Bells for Deep Sleep 🌙 Dark Screen · Calm Your Mind · 432 Hz · 3 Hours</t>
        </is>
      </c>
      <c r="C49" s="2" t="inlineStr">
        <is>
          <t>Música para dormir · Templo zen · 432 Hz · Campanas para dormir · 3 horas</t>
        </is>
      </c>
      <c r="D49" s="2" t="inlineStr">
        <is>
          <t>Dormir</t>
        </is>
      </c>
      <c r="E49" s="2" t="inlineStr">
        <is>
          <t>zen</t>
        </is>
      </c>
      <c r="F49" s="3" t="inlineStr">
        <is>
          <t>Three hours of soft zen temple bells over a distant ocean, for deep sleep.
The bells grow sparse as the night goes on. The screen fades to black after 3 minutes, so no light keeps you awake.
🌙 Lights off, phone face down, volume low.
🌿 Subscribe for a new calm piece every week: https://www.youtube.com/@rinchanneloficial?sub_confirmation=1
Original composition by Rin, synthesized from scratch in just intonation around 216 Hz, the low octave of 432 Hz, kumoi mode. No samples.
#sleepmusic #templebells #darkscreen</t>
        </is>
      </c>
      <c r="G49" s="2" t="inlineStr">
        <is>
          <t>Campanas para dormir · 3 horas
Para acompañar el sueño.
Ambiente: templo zen.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9" s="2" t="inlineStr">
        <is>
          <t>3 HOURS</t>
        </is>
      </c>
      <c r="I49" s="2" t="inlineStr">
        <is>
          <t>#sleepmusic #templebells #darkscreen</t>
        </is>
      </c>
      <c r="J49" s="3" t="inlineStr">
        <is>
          <t>zen temple bells, temple bells sleep, zen sleep music, dark screen sleep music, black screen sleep music, deep sleep music, sleep music, calm your mind, zen music, meditation music, 432 hz, 3 hours, rin, música para dormir</t>
        </is>
      </c>
      <c r="K49" s="4" t="inlineStr"/>
      <c r="L49" s="4" t="inlineStr"/>
      <c r="M49" s="2" t="n">
        <v>432</v>
      </c>
      <c r="N49" s="2" t="inlineStr">
        <is>
          <t>kumoi</t>
        </is>
      </c>
      <c r="O49" s="2" t="inlineStr">
        <is>
          <t>grave</t>
        </is>
      </c>
      <c r="P49" s="2" t="n">
        <v>762820</v>
      </c>
      <c r="Q49" s="2" t="n">
        <v>-70</v>
      </c>
      <c r="R49" s="2" t="n">
        <v>180</v>
      </c>
      <c r="S49" s="2" t="n">
        <v>3</v>
      </c>
      <c r="T49" s="2" t="inlineStr">
        <is>
          <t>Do bells help you sleep, or do you prefer rain? 🔔🌧️ Tell us, it shapes the next piece.</t>
        </is>
      </c>
      <c r="U49" s="3" t="inlineStr">
        <is>
          <t>python3 03-composicion/compositor.py --minutos 180 --raiz 432 --modo kumoi --semilla 762820 --caracter sin-cuenco --registro grave</t>
        </is>
      </c>
      <c r="V49" s="2" t="inlineStr">
        <is>
          <t>python3 03-composicion/capas.py zen 10840 audio/OBRA-048_capa.wav --semilla 762820 --raiz 432 --densidad 1.4 &amp;&amp; python3 03-composicion/ambiente.py audio/OBRA-048_432_kumoi.wav audio/OBRA-048_final.wav --fondo mar --nivel-fondo -7 --nivel-capa 2 --capa audio/OBRA-048_capa.wav</t>
        </is>
      </c>
      <c r="W49" s="4" t="inlineStr">
        <is>
          <t>pendiente</t>
        </is>
      </c>
      <c r="X49" s="4" t="inlineStr"/>
      <c r="Y49" s="4" t="inlineStr"/>
      <c r="Z49" s="4" t="inlineStr"/>
      <c r="AA49" s="5">
        <f>IFERROR(Z49/Y49*1000,"")</f>
        <v/>
      </c>
    </row>
    <row r="50" ht="58" customHeight="1">
      <c r="A50" s="2" t="inlineStr">
        <is>
          <t>OBRA-049</t>
        </is>
      </c>
      <c r="B50" s="3" t="inlineStr">
        <is>
          <t>Stop Overthinking in 10 Minutes 🌿 Birdsong &amp; Temple Bells · Calming Music · 432 Hz</t>
        </is>
      </c>
      <c r="C50" s="2" t="inlineStr">
        <is>
          <t>Música para momentos de ansiedad · Pájaros y campanas del templo · 432 Hz · Dejar de pensar en diez · 10 minutos</t>
        </is>
      </c>
      <c r="D50" s="2" t="inlineStr">
        <is>
          <t>Ansiedad</t>
        </is>
      </c>
      <c r="E50" s="2" t="inlineStr">
        <is>
          <t>jardin</t>
        </is>
      </c>
      <c r="F50" s="3" t="inlineStr">
        <is>
          <t>Ten minutes to stop overthinking: birdsong, soft temple bells and a slower breath.
You don't have to solve it now. Breathe out longer than you breathe in, and just listen to the birds.
🌿 Headphones on, eyes closed if you can.
🌿 Subscribe for a new calm piece every week: https://www.youtube.com/@rinchanneloficial?sub_confirmation=1
Original composition by Rin, synthesized from scratch in just intonation around 432 Hz, hirajoshi mode. No samples.
#stopoverthinking #calmingmusic #432hz</t>
        </is>
      </c>
      <c r="G50" s="2" t="inlineStr">
        <is>
          <t>Dejar de pensar en diez · 10 minutos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50" s="2" t="inlineStr">
        <is>
          <t>10 MIN</t>
        </is>
      </c>
      <c r="I50" s="2" t="inlineStr">
        <is>
          <t>#stopoverthinking #calmingmusic #432hz</t>
        </is>
      </c>
      <c r="J50" s="3" t="inlineStr">
        <is>
          <t>stop overthinking, stop overthinking music, 10 minute meditation, calming music, music for anxiety, birdsong, temple bells, anxiety relief, calm your mind, 432 hz, rin, música para la ansiedad</t>
        </is>
      </c>
      <c r="K50" s="4" t="inlineStr"/>
      <c r="L50" s="4" t="inlineStr"/>
      <c r="M50" s="2" t="n">
        <v>432</v>
      </c>
      <c r="N50" s="2" t="inlineStr">
        <is>
          <t>hirajoshi</t>
        </is>
      </c>
      <c r="O50" s="2" t="inlineStr">
        <is>
          <t>medio</t>
        </is>
      </c>
      <c r="P50" s="2" t="n">
        <v>341227</v>
      </c>
      <c r="Q50" s="2" t="n">
        <v>110</v>
      </c>
      <c r="R50" s="2" t="n">
        <v>10</v>
      </c>
      <c r="S50" s="2" t="n">
        <v>0</v>
      </c>
      <c r="T50" s="2" t="inlineStr">
        <is>
          <t>What's the thought that won't leave you alone today? 🌿 Write one word. Then let it go.</t>
        </is>
      </c>
      <c r="U50" s="3" t="inlineStr">
        <is>
          <t>python3 03-composicion/compositor.py --minutos 10 --raiz 432 --modo hirajoshi --semilla 341227 --caracter sin-cuenco</t>
        </is>
      </c>
      <c r="V50" s="2" t="inlineStr">
        <is>
          <t>python3 03-composicion/capas.py jardin 640 audio/OBRA-049_capa.wav --semilla 341227 --raiz 432 &amp;&amp; python3 03-composicion/ambiente.py audio/OBRA-049_432_hirajoshi.wav audio/OBRA-049_final.wav --fondo mar --nivel-fondo -8 --nivel-capa 0 --capa audio/OBRA-049_capa.wav</t>
        </is>
      </c>
      <c r="W50" s="4" t="inlineStr">
        <is>
          <t>pendiente</t>
        </is>
      </c>
      <c r="X50" s="4" t="inlineStr"/>
      <c r="Y50" s="4" t="inlineStr"/>
      <c r="Z50" s="4" t="inlineStr"/>
      <c r="AA50" s="5">
        <f>IFERROR(Z50/Y50*1000,"")</f>
        <v/>
      </c>
    </row>
  </sheetData>
  <autoFilter ref="A1:AA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#sleepmusic #sleep #relaxingmusic #432hz #shorts</t>
        </is>
      </c>
      <c r="K299" s="2" t="inlineStr">
        <is>
          <t>sleep music, deep sleep, 432 hz, theta waves, Rin</t>
        </is>
      </c>
      <c r="L299" s="2" t="inlineStr"/>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#sleepmusic #sleep #relaxingmusic #432hz #shorts</t>
        </is>
      </c>
      <c r="K300" s="2" t="inlineStr">
        <is>
          <t>sleep music, deep sleep, 432 hz, theta waves, Rin</t>
        </is>
      </c>
      <c r="L300" s="2" t="inlineStr"/>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#sleepmusic #sleep #relaxingmusic #432hz #shorts</t>
        </is>
      </c>
      <c r="K301" s="2" t="inlineStr">
        <is>
          <t>sleep music, deep sleep, 432 hz, theta waves, Rin</t>
        </is>
      </c>
      <c r="L301" s="2" t="inlineStr"/>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row r="302" ht="58" customHeight="1">
      <c r="A302" s="2" t="inlineStr">
        <is>
          <t>OBRA-045-S1</t>
        </is>
      </c>
      <c r="B302" s="2" t="inlineStr">
        <is>
          <t>OBRA-045</t>
        </is>
      </c>
      <c r="C302" s="2" t="n">
        <v>1</v>
      </c>
      <c r="D302" s="2" t="inlineStr">
        <is>
          <t>short-1.mp4</t>
        </is>
      </c>
      <c r="E302" s="2" t="n">
        <v>90</v>
      </c>
      <c r="F302" s="2" t="n">
        <v>1</v>
      </c>
      <c r="G302" s="2" t="n">
        <v>0</v>
      </c>
      <c r="H302" s="2" t="inlineStr">
        <is>
          <t>Breathe out longer than you breathe in</t>
        </is>
      </c>
      <c r="I302" s="3" t="inlineStr">
        <is>
          <t>Breathe out longer than you breathe in · 432 Hz · Guqin and Rain</t>
        </is>
      </c>
      <c r="J302" s="3" t="inlineStr">
        <is>
          <t>Save this for tonight.
Full piece (3 h): Woke Up at 3 AM? 🌙 Chinese Guqin &amp; Rain to Fall Back Asleep · Dark Screen · 3 Hours
#sleepmusic #sleep #relaxingmusic #432hz #shorts</t>
        </is>
      </c>
      <c r="K302" s="2" t="inlineStr">
        <is>
          <t>sleep music, deep sleep, 432 hz, guqin and rain, Rin</t>
        </is>
      </c>
      <c r="L302" s="2" t="inlineStr"/>
      <c r="M302" s="2" t="inlineStr">
        <is>
          <t>432 Hz · sleep</t>
        </is>
      </c>
      <c r="N302" s="3" t="inlineStr">
        <is>
          <t>Save this for tonight. Full 3 h piece on YouTube: Rin.
#sleepmusic #sleep #relaxingmusic #432hz #meditation</t>
        </is>
      </c>
      <c r="O302" s="4" t="inlineStr">
        <is>
          <t>pendiente</t>
        </is>
      </c>
      <c r="P302" s="4" t="inlineStr"/>
      <c r="Q302" s="4" t="inlineStr"/>
      <c r="R302" s="4" t="inlineStr"/>
      <c r="S302" s="4" t="inlineStr"/>
    </row>
    <row r="303" ht="58" customHeight="1">
      <c r="A303" s="2" t="inlineStr">
        <is>
          <t>OBRA-045-S2</t>
        </is>
      </c>
      <c r="B303" s="2" t="inlineStr">
        <is>
          <t>OBRA-045</t>
        </is>
      </c>
      <c r="C303" s="2" t="n">
        <v>2</v>
      </c>
      <c r="D303" s="2" t="inlineStr">
        <is>
          <t>short-2.mp4</t>
        </is>
      </c>
      <c r="E303" s="2" t="n">
        <v>960</v>
      </c>
      <c r="F303" s="2" t="n">
        <v>1.15</v>
      </c>
      <c r="G303" s="2" t="n">
        <v>9.6</v>
      </c>
      <c r="H303" s="2" t="inlineStr">
        <is>
          <t>Unclench your jaw. Let the pillow hold you</t>
        </is>
      </c>
      <c r="I303" s="3" t="inlineStr">
        <is>
          <t>Unclench your jaw. Let the pillow hold you · 432 Hz · Guqin and Rain</t>
        </is>
      </c>
      <c r="J303" s="3" t="inlineStr">
        <is>
          <t>Lights off, volume low.
Full piece (3 h): Woke Up at 3 AM? 🌙 Chinese Guqin &amp; Rain to Fall Back Asleep · Dark Screen · 3 Hours
#sleepmusic #sleep #relaxingmusic #432hz #shorts</t>
        </is>
      </c>
      <c r="K303" s="2" t="inlineStr">
        <is>
          <t>sleep music, deep sleep, 432 hz, guqin and rain, Rin</t>
        </is>
      </c>
      <c r="L303" s="2" t="inlineStr"/>
      <c r="M303" s="2" t="inlineStr">
        <is>
          <t>432 Hz · night</t>
        </is>
      </c>
      <c r="N303" s="3" t="inlineStr">
        <is>
          <t>Lights off, volume low. Full 3 h piece on YouTube: Rin.
#sleepmusic #sleep #relaxingmusic #432hz #meditation</t>
        </is>
      </c>
      <c r="O303" s="4" t="inlineStr">
        <is>
          <t>pendiente</t>
        </is>
      </c>
      <c r="P303" s="4" t="inlineStr"/>
      <c r="Q303" s="4" t="inlineStr"/>
      <c r="R303" s="4" t="inlineStr"/>
      <c r="S303" s="4" t="inlineStr"/>
    </row>
    <row r="304" ht="58" customHeight="1">
      <c r="A304" s="2" t="inlineStr">
        <is>
          <t>OBRA-045-S3</t>
        </is>
      </c>
      <c r="B304" s="2" t="inlineStr">
        <is>
          <t>OBRA-045</t>
        </is>
      </c>
      <c r="C304" s="2" t="n">
        <v>3</v>
      </c>
      <c r="D304" s="2" t="inlineStr">
        <is>
          <t>short-3.mp4</t>
        </is>
      </c>
      <c r="E304" s="2" t="n">
        <v>1980</v>
      </c>
      <c r="F304" s="2" t="n">
        <v>1.3</v>
      </c>
      <c r="G304" s="2" t="n">
        <v>19.2</v>
      </c>
      <c r="H304" s="2" t="inlineStr">
        <is>
          <t>Close your eyes. Just listen</t>
        </is>
      </c>
      <c r="I304" s="3" t="inlineStr">
        <is>
          <t>Close your eyes. Just listen · 432 Hz · Guqin and Rain</t>
        </is>
      </c>
      <c r="J304" s="3" t="inlineStr">
        <is>
          <t>Stay until your breathing slows.
Full piece (3 h): Woke Up at 3 AM? 🌙 Chinese Guqin &amp; Rain to Fall Back Asleep · Dark Screen · 3 Hours
#sleepmusic #sleep #relaxingmusic #432hz #shorts</t>
        </is>
      </c>
      <c r="K304" s="2" t="inlineStr">
        <is>
          <t>sleep music, deep sleep, 432 hz, guqin and rain, Rin</t>
        </is>
      </c>
      <c r="L304" s="2" t="inlineStr"/>
      <c r="M304" s="2" t="inlineStr">
        <is>
          <t>432 Hz · rest</t>
        </is>
      </c>
      <c r="N304" s="3" t="inlineStr">
        <is>
          <t>Stay until your breathing slows. Full 3 h piece on YouTube: Rin.
#sleepmusic #sleep #relaxingmusic #432hz #meditation</t>
        </is>
      </c>
      <c r="O304" s="4" t="inlineStr">
        <is>
          <t>pendiente</t>
        </is>
      </c>
      <c r="P304" s="4" t="inlineStr"/>
      <c r="Q304" s="4" t="inlineStr"/>
      <c r="R304" s="4" t="inlineStr"/>
      <c r="S304" s="4" t="inlineStr"/>
    </row>
    <row r="305" ht="58" customHeight="1">
      <c r="A305" s="2" t="inlineStr">
        <is>
          <t>OBRA-046-S1</t>
        </is>
      </c>
      <c r="B305" s="2" t="inlineStr">
        <is>
          <t>OBRA-046</t>
        </is>
      </c>
      <c r="C305" s="2" t="n">
        <v>1</v>
      </c>
      <c r="D305" s="2" t="inlineStr">
        <is>
          <t>short-1.mp4</t>
        </is>
      </c>
      <c r="E305" s="2" t="n">
        <v>90</v>
      </c>
      <c r="F305" s="2" t="n">
        <v>1</v>
      </c>
      <c r="G305" s="2" t="n">
        <v>0</v>
      </c>
      <c r="H305" s="2" t="inlineStr">
        <is>
          <t>Breathe out longer than you breathe in</t>
        </is>
      </c>
      <c r="I305" s="3" t="inlineStr">
        <is>
          <t>Breathe out longer than you breathe in · 432 Hz · Guqin and Rain</t>
        </is>
      </c>
      <c r="J305" s="3" t="inlineStr">
        <is>
          <t>Save this for tonight.
Full piece (10 min): 3 AM Reset 🌙 10 Minutes of Guqin &amp; Rain to Fall Back Asleep · Chinese Sleep Music
#sleepmusic #sleep #relaxingmusic #432hz #shorts</t>
        </is>
      </c>
      <c r="K305" s="2" t="inlineStr">
        <is>
          <t>sleep music, deep sleep, 432 hz, guqin and rain, Rin</t>
        </is>
      </c>
      <c r="L305" s="2" t="inlineStr"/>
      <c r="M305" s="2" t="inlineStr">
        <is>
          <t>432 Hz · sleep</t>
        </is>
      </c>
      <c r="N305" s="3" t="inlineStr">
        <is>
          <t>Save this for tonight. Full 10 min piece on YouTube: Rin.
#sleepmusic #sleep #relaxingmusic #432hz #meditation</t>
        </is>
      </c>
      <c r="O305" s="4" t="inlineStr">
        <is>
          <t>pendiente</t>
        </is>
      </c>
      <c r="P305" s="4" t="inlineStr"/>
      <c r="Q305" s="4" t="inlineStr"/>
      <c r="R305" s="4" t="inlineStr"/>
      <c r="S305" s="4" t="inlineStr"/>
    </row>
    <row r="306" ht="58" customHeight="1">
      <c r="A306" s="2" t="inlineStr">
        <is>
          <t>OBRA-046-S2</t>
        </is>
      </c>
      <c r="B306" s="2" t="inlineStr">
        <is>
          <t>OBRA-046</t>
        </is>
      </c>
      <c r="C306" s="2" t="n">
        <v>2</v>
      </c>
      <c r="D306" s="2" t="inlineStr">
        <is>
          <t>short-2.mp4</t>
        </is>
      </c>
      <c r="E306" s="2" t="n">
        <v>332</v>
      </c>
      <c r="F306" s="2" t="n">
        <v>1.15</v>
      </c>
      <c r="G306" s="2" t="n">
        <v>9.6</v>
      </c>
      <c r="H306" s="2" t="inlineStr">
        <is>
          <t>Unclench your jaw. Let the pillow hold you</t>
        </is>
      </c>
      <c r="I306" s="3" t="inlineStr">
        <is>
          <t>Unclench your jaw. Let the pillow hold you · 432 Hz · Guqin and Rain</t>
        </is>
      </c>
      <c r="J306" s="3" t="inlineStr">
        <is>
          <t>Lights off, volume low.
Full piece (10 min): 3 AM Reset 🌙 10 Minutes of Guqin &amp; Rain to Fall Back Asleep · Chinese Sleep Music
#sleepmusic #sleep #relaxingmusic #432hz #shorts</t>
        </is>
      </c>
      <c r="K306" s="2" t="inlineStr">
        <is>
          <t>sleep music, deep sleep, 432 hz, guqin and rain, Rin</t>
        </is>
      </c>
      <c r="L306" s="2" t="inlineStr"/>
      <c r="M306" s="2" t="inlineStr">
        <is>
          <t>432 Hz · night</t>
        </is>
      </c>
      <c r="N306" s="3" t="inlineStr">
        <is>
          <t>Lights off, volume low. Full 10 min piece on YouTube: Rin.
#sleepmusic #sleep #relaxingmusic #432hz #meditation</t>
        </is>
      </c>
      <c r="O306" s="4" t="inlineStr">
        <is>
          <t>pendiente</t>
        </is>
      </c>
      <c r="P306" s="4" t="inlineStr"/>
      <c r="Q306" s="4" t="inlineStr"/>
      <c r="R306" s="4" t="inlineStr"/>
      <c r="S306" s="4" t="inlineStr"/>
    </row>
    <row r="307" ht="58" customHeight="1">
      <c r="A307" s="2" t="inlineStr">
        <is>
          <t>OBRA-046-S3</t>
        </is>
      </c>
      <c r="B307" s="2" t="inlineStr">
        <is>
          <t>OBRA-046</t>
        </is>
      </c>
      <c r="C307" s="2" t="n">
        <v>3</v>
      </c>
      <c r="D307" s="2" t="inlineStr">
        <is>
          <t>short-3.mp4</t>
        </is>
      </c>
      <c r="E307" s="2" t="n">
        <v>575</v>
      </c>
      <c r="F307" s="2" t="n">
        <v>1.3</v>
      </c>
      <c r="G307" s="2" t="n">
        <v>19.2</v>
      </c>
      <c r="H307" s="2" t="inlineStr">
        <is>
          <t>Close your eyes. Just listen</t>
        </is>
      </c>
      <c r="I307" s="3" t="inlineStr">
        <is>
          <t>Close your eyes. Just listen · 432 Hz · Guqin and Rain</t>
        </is>
      </c>
      <c r="J307" s="3" t="inlineStr">
        <is>
          <t>Stay until your breathing slows.
Full piece (10 min): 3 AM Reset 🌙 10 Minutes of Guqin &amp; Rain to Fall Back Asleep · Chinese Sleep Music
#sleepmusic #sleep #relaxingmusic #432hz #shorts</t>
        </is>
      </c>
      <c r="K307" s="2" t="inlineStr">
        <is>
          <t>sleep music, deep sleep, 432 hz, guqin and rain, Rin</t>
        </is>
      </c>
      <c r="L307" s="2" t="inlineStr"/>
      <c r="M307" s="2" t="inlineStr">
        <is>
          <t>432 Hz · rest</t>
        </is>
      </c>
      <c r="N307" s="3" t="inlineStr">
        <is>
          <t>Stay until your breathing slows. Full 10 min piece on YouTube: Rin.
#sleepmusic #sleep #relaxingmusic #432hz #meditation</t>
        </is>
      </c>
      <c r="O307" s="4" t="inlineStr">
        <is>
          <t>pendiente</t>
        </is>
      </c>
      <c r="P307" s="4" t="inlineStr"/>
      <c r="Q307" s="4" t="inlineStr"/>
      <c r="R307" s="4" t="inlineStr"/>
      <c r="S307" s="4" t="inlineStr"/>
    </row>
    <row r="308" ht="58" customHeight="1">
      <c r="A308" s="2" t="inlineStr">
        <is>
          <t>OBRA-047-S1</t>
        </is>
      </c>
      <c r="B308" s="2" t="inlineStr">
        <is>
          <t>OBRA-047</t>
        </is>
      </c>
      <c r="C308" s="2" t="n">
        <v>1</v>
      </c>
      <c r="D308" s="2" t="inlineStr">
        <is>
          <t>short-1.mp4</t>
        </is>
      </c>
      <c r="E308" s="2" t="n">
        <v>90</v>
      </c>
      <c r="F308" s="2" t="n">
        <v>1</v>
      </c>
      <c r="G308" s="2" t="n">
        <v>0</v>
      </c>
      <c r="H308" s="2" t="inlineStr">
        <is>
          <t>Breathe out longer than you breathe in</t>
        </is>
      </c>
      <c r="I308" s="3" t="inlineStr">
        <is>
          <t>Breathe out longer than you breathe in · 528 Hz · Zen Temple</t>
        </is>
      </c>
      <c r="J308" s="3" t="inlineStr">
        <is>
          <t>Save this for the next hard moment.
Full piece (5 min): 5-Minute Nervous System Reset 🔔 Zen Temple Bells to Calm Anxiety Fast · 528 Hz
#anxietyrelief #calm #relaxingmusic #528hz #shorts</t>
        </is>
      </c>
      <c r="K308" s="2" t="inlineStr">
        <is>
          <t>anxiety relief, calming music, 528 hz, zen temple, Rin</t>
        </is>
      </c>
      <c r="L308" s="2" t="inlineStr"/>
      <c r="M308" s="2" t="inlineStr">
        <is>
          <t>528 Hz · calm</t>
        </is>
      </c>
      <c r="N308" s="3" t="inlineStr">
        <is>
          <t>Save this for the next hard moment. Full 5 min piece on YouTube: Rin.
#anxietyrelief #calm #relaxingmusic #528hz #meditation</t>
        </is>
      </c>
      <c r="O308" s="4" t="inlineStr">
        <is>
          <t>pendiente</t>
        </is>
      </c>
      <c r="P308" s="4" t="inlineStr"/>
      <c r="Q308" s="4" t="inlineStr"/>
      <c r="R308" s="4" t="inlineStr"/>
      <c r="S308" s="4" t="inlineStr"/>
    </row>
    <row r="309" ht="58" customHeight="1">
      <c r="A309" s="2" t="inlineStr">
        <is>
          <t>OBRA-047-S2</t>
        </is>
      </c>
      <c r="B309" s="2" t="inlineStr">
        <is>
          <t>OBRA-047</t>
        </is>
      </c>
      <c r="C309" s="2" t="n">
        <v>2</v>
      </c>
      <c r="D309" s="2" t="inlineStr">
        <is>
          <t>short-2.mp4</t>
        </is>
      </c>
      <c r="E309" s="2" t="n">
        <v>182</v>
      </c>
      <c r="F309" s="2" t="n">
        <v>1.15</v>
      </c>
      <c r="G309" s="2" t="n">
        <v>9.6</v>
      </c>
      <c r="H309" s="2" t="inlineStr">
        <is>
          <t>Drop your shoulders. Unclench your jaw</t>
        </is>
      </c>
      <c r="I309" s="3" t="inlineStr">
        <is>
          <t>Drop your shoulders. Unclench your jaw · 528 Hz · Zen Temple</t>
        </is>
      </c>
      <c r="J309" s="3" t="inlineStr">
        <is>
          <t>Headphones on. Exhale slowly.
Full piece (5 min): 5-Minute Nervous System Reset 🔔 Zen Temple Bells to Calm Anxiety Fast · 528 Hz
#anxietyrelief #calm #relaxingmusic #528hz #shorts</t>
        </is>
      </c>
      <c r="K309" s="2" t="inlineStr">
        <is>
          <t>anxiety relief, calming music, 528 hz, zen temple, Rin</t>
        </is>
      </c>
      <c r="L309" s="2" t="inlineStr"/>
      <c r="M309" s="2" t="inlineStr">
        <is>
          <t>528 Hz · exhale</t>
        </is>
      </c>
      <c r="N309" s="3" t="inlineStr">
        <is>
          <t>Headphones on. Exhale slowly. Full 5 min piece on YouTube: Rin.
#anxietyrelief #calm #relaxingmusic #528hz #meditation</t>
        </is>
      </c>
      <c r="O309" s="4" t="inlineStr">
        <is>
          <t>pendiente</t>
        </is>
      </c>
      <c r="P309" s="4" t="inlineStr"/>
      <c r="Q309" s="4" t="inlineStr"/>
      <c r="R309" s="4" t="inlineStr"/>
      <c r="S309" s="4" t="inlineStr"/>
    </row>
    <row r="310" ht="58" customHeight="1">
      <c r="A310" s="2" t="inlineStr">
        <is>
          <t>OBRA-047-S3</t>
        </is>
      </c>
      <c r="B310" s="2" t="inlineStr">
        <is>
          <t>OBRA-047</t>
        </is>
      </c>
      <c r="C310" s="2" t="n">
        <v>3</v>
      </c>
      <c r="D310" s="2" t="inlineStr">
        <is>
          <t>short-3.mp4</t>
        </is>
      </c>
      <c r="E310" s="2" t="n">
        <v>275</v>
      </c>
      <c r="F310" s="2" t="n">
        <v>1.3</v>
      </c>
      <c r="G310" s="2" t="n">
        <v>19.2</v>
      </c>
      <c r="H310" s="2" t="inlineStr">
        <is>
          <t>Hand on your chest. Breathe slower</t>
        </is>
      </c>
      <c r="I310" s="3" t="inlineStr">
        <is>
          <t>Hand on your chest. Breathe slower · 528 Hz · Zen Temple</t>
        </is>
      </c>
      <c r="J310" s="3" t="inlineStr">
        <is>
          <t>Stay for one full breath.
Full piece (5 min): 5-Minute Nervous System Reset 🔔 Zen Temple Bells to Calm Anxiety Fast · 528 Hz
#anxietyrelief #calm #relaxingmusic #528hz #shorts</t>
        </is>
      </c>
      <c r="K310" s="2" t="inlineStr">
        <is>
          <t>anxiety relief, calming music, 528 hz, zen temple, Rin</t>
        </is>
      </c>
      <c r="L310" s="2" t="inlineStr"/>
      <c r="M310" s="2" t="inlineStr">
        <is>
          <t>528 Hz · pause</t>
        </is>
      </c>
      <c r="N310" s="3" t="inlineStr">
        <is>
          <t>Stay for one full breath. Full 5 min piece on YouTube: Rin.
#anxietyrelief #calm #relaxingmusic #528hz #meditation</t>
        </is>
      </c>
      <c r="O310" s="4" t="inlineStr">
        <is>
          <t>pendiente</t>
        </is>
      </c>
      <c r="P310" s="4" t="inlineStr"/>
      <c r="Q310" s="4" t="inlineStr"/>
      <c r="R310" s="4" t="inlineStr"/>
      <c r="S310" s="4" t="inlineStr"/>
    </row>
    <row r="311" ht="58" customHeight="1">
      <c r="A311" s="2" t="inlineStr">
        <is>
          <t>OBRA-048-S1</t>
        </is>
      </c>
      <c r="B311" s="2" t="inlineStr">
        <is>
          <t>OBRA-048</t>
        </is>
      </c>
      <c r="C311" s="2" t="n">
        <v>1</v>
      </c>
      <c r="D311" s="2" t="inlineStr">
        <is>
          <t>short-1.mp4</t>
        </is>
      </c>
      <c r="E311" s="2" t="n">
        <v>90</v>
      </c>
      <c r="F311" s="2" t="n">
        <v>1</v>
      </c>
      <c r="G311" s="2" t="n">
        <v>0</v>
      </c>
      <c r="H311" s="2" t="inlineStr">
        <is>
          <t>Breathe out longer than you breathe in</t>
        </is>
      </c>
      <c r="I311" s="3" t="inlineStr">
        <is>
          <t>Breathe out longer than you breathe in · 432 Hz · Zen Temple</t>
        </is>
      </c>
      <c r="J311" s="3" t="inlineStr">
        <is>
          <t>Save this for tonight.
Full piece (3 h): Zen Temple Bells for Deep Sleep 🌙 Dark Screen · Calm Your Mind · 432 Hz · 3 Hours
#sleepmusic #sleep #relaxingmusic #432hz #shorts</t>
        </is>
      </c>
      <c r="K311" s="2" t="inlineStr">
        <is>
          <t>sleep music, deep sleep, 432 hz, zen temple, Rin</t>
        </is>
      </c>
      <c r="L311" s="2" t="inlineStr"/>
      <c r="M311" s="2" t="inlineStr">
        <is>
          <t>432 Hz · sleep</t>
        </is>
      </c>
      <c r="N311" s="3" t="inlineStr">
        <is>
          <t>Save this for tonight. Full 3 h piece on YouTube: Rin.
#sleepmusic #sleep #relaxingmusic #432hz #meditation</t>
        </is>
      </c>
      <c r="O311" s="4" t="inlineStr">
        <is>
          <t>pendiente</t>
        </is>
      </c>
      <c r="P311" s="4" t="inlineStr"/>
      <c r="Q311" s="4" t="inlineStr"/>
      <c r="R311" s="4" t="inlineStr"/>
      <c r="S311" s="4" t="inlineStr"/>
    </row>
    <row r="312" ht="58" customHeight="1">
      <c r="A312" s="2" t="inlineStr">
        <is>
          <t>OBRA-048-S2</t>
        </is>
      </c>
      <c r="B312" s="2" t="inlineStr">
        <is>
          <t>OBRA-048</t>
        </is>
      </c>
      <c r="C312" s="2" t="n">
        <v>2</v>
      </c>
      <c r="D312" s="2" t="inlineStr">
        <is>
          <t>short-2.mp4</t>
        </is>
      </c>
      <c r="E312" s="2" t="n">
        <v>5432</v>
      </c>
      <c r="F312" s="2" t="n">
        <v>1.15</v>
      </c>
      <c r="G312" s="2" t="n">
        <v>9.6</v>
      </c>
      <c r="H312" s="2" t="inlineStr">
        <is>
          <t>Unclench your jaw. Let the pillow hold you</t>
        </is>
      </c>
      <c r="I312" s="3" t="inlineStr">
        <is>
          <t>Unclench your jaw. Let the pillow hold you · 432 Hz · Zen Temple</t>
        </is>
      </c>
      <c r="J312" s="3" t="inlineStr">
        <is>
          <t>Lights off, volume low.
Full piece (3 h): Zen Temple Bells for Deep Sleep 🌙 Dark Screen · Calm Your Mind · 432 Hz · 3 Hours
#sleepmusic #sleep #relaxingmusic #432hz #shorts</t>
        </is>
      </c>
      <c r="K312" s="2" t="inlineStr">
        <is>
          <t>sleep music, deep sleep, 432 hz, zen temple, Rin</t>
        </is>
      </c>
      <c r="L312" s="2" t="inlineStr"/>
      <c r="M312" s="2" t="inlineStr">
        <is>
          <t>432 Hz · night</t>
        </is>
      </c>
      <c r="N312" s="3" t="inlineStr">
        <is>
          <t>Lights off, volume low. Full 3 h piece on YouTube: Rin.
#sleepmusic #sleep #relaxingmusic #432hz #meditation</t>
        </is>
      </c>
      <c r="O312" s="4" t="inlineStr">
        <is>
          <t>pendiente</t>
        </is>
      </c>
      <c r="P312" s="4" t="inlineStr"/>
      <c r="Q312" s="4" t="inlineStr"/>
      <c r="R312" s="4" t="inlineStr"/>
      <c r="S312" s="4" t="inlineStr"/>
    </row>
    <row r="313" ht="58" customHeight="1">
      <c r="A313" s="2" t="inlineStr">
        <is>
          <t>OBRA-048-S3</t>
        </is>
      </c>
      <c r="B313" s="2" t="inlineStr">
        <is>
          <t>OBRA-048</t>
        </is>
      </c>
      <c r="C313" s="2" t="n">
        <v>3</v>
      </c>
      <c r="D313" s="2" t="inlineStr">
        <is>
          <t>short-3.mp4</t>
        </is>
      </c>
      <c r="E313" s="2" t="n">
        <v>10775</v>
      </c>
      <c r="F313" s="2" t="n">
        <v>1.3</v>
      </c>
      <c r="G313" s="2" t="n">
        <v>19.2</v>
      </c>
      <c r="H313" s="2" t="inlineStr">
        <is>
          <t>Close your eyes. Just listen</t>
        </is>
      </c>
      <c r="I313" s="3" t="inlineStr">
        <is>
          <t>Close your eyes. Just listen · 432 Hz · Zen Temple</t>
        </is>
      </c>
      <c r="J313" s="3" t="inlineStr">
        <is>
          <t>Stay until your breathing slows.
Full piece (3 h): Zen Temple Bells for Deep Sleep 🌙 Dark Screen · Calm Your Mind · 432 Hz · 3 Hours
#sleepmusic #sleep #relaxingmusic #432hz #shorts</t>
        </is>
      </c>
      <c r="K313" s="2" t="inlineStr">
        <is>
          <t>sleep music, deep sleep, 432 hz, zen temple, Rin</t>
        </is>
      </c>
      <c r="L313" s="2" t="inlineStr"/>
      <c r="M313" s="2" t="inlineStr">
        <is>
          <t>432 Hz · rest</t>
        </is>
      </c>
      <c r="N313" s="3" t="inlineStr">
        <is>
          <t>Stay until your breathing slows. Full 3 h piece on YouTube: Rin.
#sleepmusic #sleep #relaxingmusic #432hz #meditation</t>
        </is>
      </c>
      <c r="O313" s="4" t="inlineStr">
        <is>
          <t>pendiente</t>
        </is>
      </c>
      <c r="P313" s="4" t="inlineStr"/>
      <c r="Q313" s="4" t="inlineStr"/>
      <c r="R313" s="4" t="inlineStr"/>
      <c r="S313" s="4" t="inlineStr"/>
    </row>
    <row r="314" ht="58" customHeight="1">
      <c r="A314" s="2" t="inlineStr">
        <is>
          <t>OBRA-049-S1</t>
        </is>
      </c>
      <c r="B314" s="2" t="inlineStr">
        <is>
          <t>OBRA-049</t>
        </is>
      </c>
      <c r="C314" s="2" t="n">
        <v>1</v>
      </c>
      <c r="D314" s="2" t="inlineStr">
        <is>
          <t>short-1.mp4</t>
        </is>
      </c>
      <c r="E314" s="2" t="n">
        <v>90</v>
      </c>
      <c r="F314" s="2" t="n">
        <v>1</v>
      </c>
      <c r="G314" s="2" t="n">
        <v>0</v>
      </c>
      <c r="H314" s="2" t="inlineStr">
        <is>
          <t>Breathe out longer than you breathe in</t>
        </is>
      </c>
      <c r="I314" s="3" t="inlineStr">
        <is>
          <t>Breathe out longer than you breathe in · 432 Hz · Birds and Temple Bells</t>
        </is>
      </c>
      <c r="J314" s="3" t="inlineStr">
        <is>
          <t>Save this for the next hard moment.
Full piece (10 min): Stop Overthinking in 10 Minutes 🌿 Birdsong &amp; Temple Bells · Calming Music · 432 Hz
#anxietyrelief #calm #relaxingmusic #432hz #shorts</t>
        </is>
      </c>
      <c r="K314" s="2" t="inlineStr">
        <is>
          <t>anxiety relief, calming music, 432 hz, birds and temple bells, Rin</t>
        </is>
      </c>
      <c r="L314" s="2" t="inlineStr"/>
      <c r="M314" s="2" t="inlineStr">
        <is>
          <t>432 Hz · calm</t>
        </is>
      </c>
      <c r="N314" s="3" t="inlineStr">
        <is>
          <t>Save this for the next hard moment. Full 10 min piece on YouTube: Rin.
#anxietyrelief #calm #relaxingmusic #432hz #meditation</t>
        </is>
      </c>
      <c r="O314" s="4" t="inlineStr">
        <is>
          <t>pendiente</t>
        </is>
      </c>
      <c r="P314" s="4" t="inlineStr"/>
      <c r="Q314" s="4" t="inlineStr"/>
      <c r="R314" s="4" t="inlineStr"/>
      <c r="S314" s="4" t="inlineStr"/>
    </row>
    <row r="315" ht="58" customHeight="1">
      <c r="A315" s="2" t="inlineStr">
        <is>
          <t>OBRA-049-S2</t>
        </is>
      </c>
      <c r="B315" s="2" t="inlineStr">
        <is>
          <t>OBRA-049</t>
        </is>
      </c>
      <c r="C315" s="2" t="n">
        <v>2</v>
      </c>
      <c r="D315" s="2" t="inlineStr">
        <is>
          <t>short-2.mp4</t>
        </is>
      </c>
      <c r="E315" s="2" t="n">
        <v>332</v>
      </c>
      <c r="F315" s="2" t="n">
        <v>1.15</v>
      </c>
      <c r="G315" s="2" t="n">
        <v>9.6</v>
      </c>
      <c r="H315" s="2" t="inlineStr">
        <is>
          <t>Drop your shoulders. Unclench your jaw</t>
        </is>
      </c>
      <c r="I315" s="3" t="inlineStr">
        <is>
          <t>Drop your shoulders. Unclench your jaw · 432 Hz · Birds and Temple Bells</t>
        </is>
      </c>
      <c r="J315" s="3" t="inlineStr">
        <is>
          <t>Headphones on. Exhale slowly.
Full piece (10 min): Stop Overthinking in 10 Minutes 🌿 Birdsong &amp; Temple Bells · Calming Music · 432 Hz
#anxietyrelief #calm #relaxingmusic #432hz #shorts</t>
        </is>
      </c>
      <c r="K315" s="2" t="inlineStr">
        <is>
          <t>anxiety relief, calming music, 432 hz, birds and temple bells, Rin</t>
        </is>
      </c>
      <c r="L315" s="2" t="inlineStr"/>
      <c r="M315" s="2" t="inlineStr">
        <is>
          <t>432 Hz · exhale</t>
        </is>
      </c>
      <c r="N315" s="3" t="inlineStr">
        <is>
          <t>Headphones on. Exhale slowly. Full 10 min piece on YouTube: Rin.
#anxietyrelief #calm #relaxingmusic #432hz #meditation</t>
        </is>
      </c>
      <c r="O315" s="4" t="inlineStr">
        <is>
          <t>pendiente</t>
        </is>
      </c>
      <c r="P315" s="4" t="inlineStr"/>
      <c r="Q315" s="4" t="inlineStr"/>
      <c r="R315" s="4" t="inlineStr"/>
      <c r="S315" s="4" t="inlineStr"/>
    </row>
    <row r="316" ht="58" customHeight="1">
      <c r="A316" s="2" t="inlineStr">
        <is>
          <t>OBRA-049-S3</t>
        </is>
      </c>
      <c r="B316" s="2" t="inlineStr">
        <is>
          <t>OBRA-049</t>
        </is>
      </c>
      <c r="C316" s="2" t="n">
        <v>3</v>
      </c>
      <c r="D316" s="2" t="inlineStr">
        <is>
          <t>short-3.mp4</t>
        </is>
      </c>
      <c r="E316" s="2" t="n">
        <v>575</v>
      </c>
      <c r="F316" s="2" t="n">
        <v>1.3</v>
      </c>
      <c r="G316" s="2" t="n">
        <v>19.2</v>
      </c>
      <c r="H316" s="2" t="inlineStr">
        <is>
          <t>Hand on your chest. Breathe slower</t>
        </is>
      </c>
      <c r="I316" s="3" t="inlineStr">
        <is>
          <t>Hand on your chest. Breathe slower · 432 Hz · Birds and Temple Bells</t>
        </is>
      </c>
      <c r="J316" s="3" t="inlineStr">
        <is>
          <t>Stay for one full breath.
Full piece (10 min): Stop Overthinking in 10 Minutes 🌿 Birdsong &amp; Temple Bells · Calming Music · 432 Hz
#anxietyrelief #calm #relaxingmusic #432hz #shorts</t>
        </is>
      </c>
      <c r="K316" s="2" t="inlineStr">
        <is>
          <t>anxiety relief, calming music, 432 hz, birds and temple bells, Rin</t>
        </is>
      </c>
      <c r="L316" s="2" t="inlineStr"/>
      <c r="M316" s="2" t="inlineStr">
        <is>
          <t>432 Hz · pause</t>
        </is>
      </c>
      <c r="N316" s="3" t="inlineStr">
        <is>
          <t>Stay for one full breath. Full 10 min piece on YouTube: Rin.
#anxietyrelief #calm #relaxingmusic #432hz #meditation</t>
        </is>
      </c>
      <c r="O316" s="4" t="inlineStr">
        <is>
          <t>pendiente</t>
        </is>
      </c>
      <c r="P316" s="4" t="inlineStr"/>
      <c r="Q316" s="4" t="inlineStr"/>
      <c r="R316" s="4" t="inlineStr"/>
      <c r="S316" s="4" t="inlineStr"/>
    </row>
  </sheetData>
  <autoFilter ref="A1:S3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COUNTA(Catálogo!A2:A50)</f>
        <v/>
      </c>
    </row>
    <row r="3">
      <c r="A3" s="7" t="inlineStr">
        <is>
          <t>Pendientes</t>
        </is>
      </c>
      <c r="B3" s="7">
        <f>COUNTIF(Catálogo!W2:W50,"pendiente")</f>
        <v/>
      </c>
    </row>
    <row r="4">
      <c r="A4" s="7" t="inlineStr">
        <is>
          <t>Compuestas</t>
        </is>
      </c>
      <c r="B4" s="7">
        <f>COUNTIF(Catálogo!W2:W50,"compuesta")</f>
        <v/>
      </c>
    </row>
    <row r="5">
      <c r="A5" s="7" t="inlineStr">
        <is>
          <t>Montadas</t>
        </is>
      </c>
      <c r="B5" s="7">
        <f>COUNTIF(Catálogo!W2:W50,"montada")</f>
        <v/>
      </c>
    </row>
    <row r="6">
      <c r="A6" s="7" t="inlineStr">
        <is>
          <t>Publicadas</t>
        </is>
      </c>
      <c r="B6" s="7">
        <f>COUNTIF(Catálogo!W2:W50,"publicada")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COUNTIF(Catálogo!D2:D50,A10)</f>
        <v/>
      </c>
      <c r="C10" s="7">
        <f>COUNTIFS(Catálogo!D2:D50,A10,Catálogo!W2:W50,"publicada")</f>
        <v/>
      </c>
      <c r="D10" s="7">
        <f>SUMIF(Catálogo!D2:D50,A10,Catálogo!R2:R50)</f>
        <v/>
      </c>
    </row>
    <row r="11">
      <c r="A11" s="7" t="inlineStr">
        <is>
          <t>Ansiedad</t>
        </is>
      </c>
      <c r="B11" s="7">
        <f>COUNTIF(Catálogo!D2:D50,A11)</f>
        <v/>
      </c>
      <c r="C11" s="7">
        <f>COUNTIFS(Catálogo!D2:D50,A11,Catálogo!W2:W50,"publicada")</f>
        <v/>
      </c>
      <c r="D11" s="7">
        <f>SUMIF(Catálogo!D2:D50,A11,Catálogo!R2:R50)</f>
        <v/>
      </c>
    </row>
    <row r="12">
      <c r="A12" s="7" t="inlineStr">
        <is>
          <t>Meditar</t>
        </is>
      </c>
      <c r="B12" s="7">
        <f>COUNTIF(Catálogo!D2:D50,A12)</f>
        <v/>
      </c>
      <c r="C12" s="7">
        <f>COUNTIFS(Catálogo!D2:D50,A12,Catálogo!W2:W50,"publicada")</f>
        <v/>
      </c>
      <c r="D12" s="7">
        <f>SUMIF(Catálogo!D2:D50,A12,Catálogo!R2:R50)</f>
        <v/>
      </c>
    </row>
    <row r="13">
      <c r="A13" s="7" t="inlineStr">
        <is>
          <t>Soltar</t>
        </is>
      </c>
      <c r="B13" s="7">
        <f>COUNTIF(Catálogo!D2:D50,A13)</f>
        <v/>
      </c>
      <c r="C13" s="7">
        <f>COUNTIFS(Catálogo!D2:D50,A13,Catálogo!W2:W50,"publicada")</f>
        <v/>
      </c>
      <c r="D13" s="7">
        <f>SUMIF(Catálogo!D2:D50,A13,Catálogo!R2:R50)</f>
        <v/>
      </c>
    </row>
    <row r="14">
      <c r="A14" s="7" t="inlineStr">
        <is>
          <t>Concentración</t>
        </is>
      </c>
      <c r="B14" s="7">
        <f>COUNTIF(Catálogo!D2:D50,A14)</f>
        <v/>
      </c>
      <c r="C14" s="7">
        <f>COUNTIFS(Catálogo!D2:D50,A14,Catálogo!W2:W50,"publicada")</f>
        <v/>
      </c>
      <c r="D14" s="7">
        <f>SUMIF(Catálogo!D2:D50,A14,Catálogo!R2:R50)</f>
        <v/>
      </c>
    </row>
    <row r="15">
      <c r="A15" s="8" t="inlineStr">
        <is>
          <t>TOTAL</t>
        </is>
      </c>
      <c r="B15" s="8">
        <f>SUM(B10:B14)</f>
        <v/>
      </c>
      <c r="C15" s="8">
        <f>SUM(C10:C14)</f>
        <v/>
      </c>
      <c r="D15" s="8">
        <f>SUM(D10:D14)</f>
        <v/>
      </c>
    </row>
    <row r="17">
      <c r="A17" s="6" t="inlineStr">
        <is>
          <t>Rendimiento</t>
        </is>
      </c>
    </row>
    <row r="18">
      <c r="A18" s="7" t="inlineStr">
        <is>
          <t>Vistas totales</t>
        </is>
      </c>
      <c r="B18" s="7">
        <f>SUM(Catálogo!Y2:Y50)</f>
        <v/>
      </c>
    </row>
    <row r="19">
      <c r="A19" s="7" t="inlineStr">
        <is>
          <t>Suscriptores totales</t>
        </is>
      </c>
      <c r="B19" s="7">
        <f>SUM(Catálogo!Z2:Z50)</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theta o guqin.</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2026-10-04T01:19:22Z</dcterms:created>
  <dcterms:modified xsi:type="dcterms:W3CDTF">2026-10-04T01:19:22Z</dcterms:modified>
</cp:coreProperties>
</file>