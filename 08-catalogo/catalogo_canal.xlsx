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Resumen" sheetId="2" state="visible" r:id="rId2"/>
    <sheet name="Leyenda" sheetId="3" state="visible" r:id="rId3"/>
  </sheets>
  <definedNames>
    <definedName name="_xlnm._FilterDatabase" localSheetId="0" hidden="1">'Catálogo'!$A$1:$T$41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2" fontId="2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2" customWidth="1" min="2" max="2"/>
    <col width="13" customWidth="1" min="3" max="3"/>
    <col width="60" customWidth="1" min="4" max="4"/>
    <col width="17" customWidth="1" min="5" max="5"/>
    <col width="34" customWidth="1" min="6" max="6"/>
    <col width="60" customWidth="1" min="7" max="7"/>
    <col width="24" customWidth="1" min="8" max="8"/>
    <col width="30" customWidth="1" min="9" max="9"/>
    <col width="9" customWidth="1" min="10" max="10"/>
    <col width="12" customWidth="1" min="11" max="11"/>
    <col width="11" customWidth="1" min="12" max="12"/>
    <col width="10" customWidth="1" min="13" max="13"/>
    <col width="13" customWidth="1" min="14" max="14"/>
    <col width="62" customWidth="1" min="15" max="15"/>
    <col width="13" customWidth="1" min="16" max="16"/>
    <col width="18" customWidth="1" min="17" max="17"/>
    <col width="10" customWidth="1" min="18" max="18"/>
    <col width="13" customWidth="1" min="19" max="19"/>
    <col width="14" customWidth="1" min="20" max="20"/>
  </cols>
  <sheetData>
    <row r="1">
      <c r="A1" s="1" t="inlineStr">
        <is>
          <t>id</t>
        </is>
      </c>
      <c r="B1" s="1" t="inlineStr">
        <is>
          <t>titulo</t>
        </is>
      </c>
      <c r="C1" s="1" t="inlineStr">
        <is>
          <t>tema</t>
        </is>
      </c>
      <c r="D1" s="1" t="inlineStr">
        <is>
          <t>descripcion_optimizada</t>
        </is>
      </c>
      <c r="E1" s="1" t="inlineStr">
        <is>
          <t>titulo_miniatura</t>
        </is>
      </c>
      <c r="F1" s="1" t="inlineStr">
        <is>
          <t>hashtags</t>
        </is>
      </c>
      <c r="G1" s="1" t="inlineStr">
        <is>
          <t>etiquetas</t>
        </is>
      </c>
      <c r="H1" s="1" t="inlineStr">
        <is>
          <t>imagen_miniatura</t>
        </is>
      </c>
      <c r="I1" s="1" t="inlineStr">
        <is>
          <t>url_video</t>
        </is>
      </c>
      <c r="J1" s="1" t="inlineStr">
        <is>
          <t>raiz_hz</t>
        </is>
      </c>
      <c r="K1" s="1" t="inlineStr">
        <is>
          <t>modo</t>
        </is>
      </c>
      <c r="L1" s="1" t="inlineStr">
        <is>
          <t>registro</t>
        </is>
      </c>
      <c r="M1" s="1" t="inlineStr">
        <is>
          <t>semilla</t>
        </is>
      </c>
      <c r="N1" s="1" t="inlineStr">
        <is>
          <t>duracion_min</t>
        </is>
      </c>
      <c r="O1" s="1" t="inlineStr">
        <is>
          <t>comando_regeneracion</t>
        </is>
      </c>
      <c r="P1" s="1" t="inlineStr">
        <is>
          <t>estado</t>
        </is>
      </c>
      <c r="Q1" s="1" t="inlineStr">
        <is>
          <t>fecha_publicacion</t>
        </is>
      </c>
      <c r="R1" s="1" t="inlineStr">
        <is>
          <t>vistas</t>
        </is>
      </c>
      <c r="S1" s="1" t="inlineStr">
        <is>
          <t>suscriptores</t>
        </is>
      </c>
      <c r="T1" s="1" t="inlineStr">
        <is>
          <t>subs_por_1000</t>
        </is>
      </c>
    </row>
    <row r="2" ht="58" customHeight="1">
      <c r="A2" s="2" t="inlineStr">
        <is>
          <t>OBRA-001</t>
        </is>
      </c>
      <c r="B2" s="3" t="inlineStr">
        <is>
          <t>Música de meditación · 528 Hz · Raíz de sal · 1 hora</t>
        </is>
      </c>
      <c r="C2" s="2" t="inlineStr">
        <is>
          <t>Frecuencias</t>
        </is>
      </c>
      <c r="D2" s="3" t="inlineStr">
        <is>
          <t>Raíz de sal · 1 hora
Compuesta con raíz en 528 Hz, en entonación justa, modo hirajoshi.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528 Hz in just intonation, hirajoshi mode.
To accompany a breathing practice.
Original composition, synthesized from scratch. No third-party samples.
Capítulos:
00:00 [completar tras el montaje]</t>
        </is>
      </c>
      <c r="E2" s="2" t="inlineStr">
        <is>
          <t>528 HZ</t>
        </is>
      </c>
      <c r="F2" s="2" t="inlineStr">
        <is>
          <t>#Meditación #MúsicaRelajante #528Hz</t>
        </is>
      </c>
      <c r="G2" s="3" t="inlineStr">
        <is>
          <t>528 hz, música 528 hz, música de meditación, meditation music, frecuencias, hirajoshi, música relajante, meditación, relajación, entonación justa, composición original, relaxing music, sleep music, singing bowls, just intonation</t>
        </is>
      </c>
      <c r="H2" s="4" t="inlineStr"/>
      <c r="I2" s="4" t="inlineStr"/>
      <c r="J2" s="2" t="n">
        <v>528</v>
      </c>
      <c r="K2" s="2" t="inlineStr">
        <is>
          <t>hirajoshi</t>
        </is>
      </c>
      <c r="L2" s="2" t="inlineStr">
        <is>
          <t>medio</t>
        </is>
      </c>
      <c r="M2" s="2" t="n">
        <v>454078</v>
      </c>
      <c r="N2" s="2" t="n">
        <v>60</v>
      </c>
      <c r="O2" s="3" t="inlineStr">
        <is>
          <t>python3 03-composicion/compositor.py --minutos 60 --raiz 528 --modo hirajoshi --semilla 454078</t>
        </is>
      </c>
      <c r="P2" s="4" t="inlineStr">
        <is>
          <t>pendiente</t>
        </is>
      </c>
      <c r="Q2" s="4" t="inlineStr"/>
      <c r="R2" s="4" t="inlineStr"/>
      <c r="S2" s="4" t="inlineStr"/>
      <c r="T2" s="5">
        <f>IFERROR(S2/R2*1000,"")</f>
        <v/>
      </c>
    </row>
    <row r="3" ht="58" customHeight="1">
      <c r="A3" s="2" t="inlineStr">
        <is>
          <t>OBRA-002</t>
        </is>
      </c>
      <c r="B3" s="3" t="inlineStr">
        <is>
          <t>Música de meditación · 432 Hz · Agua quieta · 1 hora</t>
        </is>
      </c>
      <c r="C3" s="2" t="inlineStr">
        <is>
          <t>Frecuencias</t>
        </is>
      </c>
      <c r="D3" s="3" t="inlineStr">
        <is>
          <t>Agua quieta · 1 hora
Compuesta con raíz en 432 Hz, en entonación justa, modo kumoi.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432 Hz in just intonation, kumoi mode.
To accompany a breathing practice.
Original composition, synthesized from scratch. No third-party samples.
Capítulos:
00:00 [completar tras el montaje]</t>
        </is>
      </c>
      <c r="E3" s="2" t="inlineStr">
        <is>
          <t>432 HZ</t>
        </is>
      </c>
      <c r="F3" s="2" t="inlineStr">
        <is>
          <t>#Meditación #MúsicaRelajante #432Hz</t>
        </is>
      </c>
      <c r="G3" s="3" t="inlineStr">
        <is>
          <t>432 hz, música 432 hz, música de meditación, meditation music, frecuencias, kumoi, música relajante, meditación, relajación, entonación justa, composición original, relaxing music, sleep music, singing bowls, just intonation</t>
        </is>
      </c>
      <c r="H3" s="4" t="inlineStr"/>
      <c r="I3" s="4" t="inlineStr"/>
      <c r="J3" s="2" t="n">
        <v>432</v>
      </c>
      <c r="K3" s="2" t="inlineStr">
        <is>
          <t>kumoi</t>
        </is>
      </c>
      <c r="L3" s="2" t="inlineStr">
        <is>
          <t>medio</t>
        </is>
      </c>
      <c r="M3" s="2" t="n">
        <v>146597</v>
      </c>
      <c r="N3" s="2" t="n">
        <v>60</v>
      </c>
      <c r="O3" s="3" t="inlineStr">
        <is>
          <t>python3 03-composicion/compositor.py --minutos 60 --raiz 432 --modo kumoi --semilla 146597</t>
        </is>
      </c>
      <c r="P3" s="4" t="inlineStr">
        <is>
          <t>pendiente</t>
        </is>
      </c>
      <c r="Q3" s="4" t="inlineStr"/>
      <c r="R3" s="4" t="inlineStr"/>
      <c r="S3" s="4" t="inlineStr"/>
      <c r="T3" s="5">
        <f>IFERROR(S3/R3*1000,"")</f>
        <v/>
      </c>
    </row>
    <row r="4" ht="58" customHeight="1">
      <c r="A4" s="2" t="inlineStr">
        <is>
          <t>OBRA-003</t>
        </is>
      </c>
      <c r="B4" s="3" t="inlineStr">
        <is>
          <t>Música de meditación · 396 Hz · Ceniza tibia · 1 hora</t>
        </is>
      </c>
      <c r="C4" s="2" t="inlineStr">
        <is>
          <t>Frecuencias</t>
        </is>
      </c>
      <c r="D4" s="3" t="inlineStr">
        <is>
          <t>Ceniza tibia · 1 hora
Compuesta con raíz en 396 Hz, en entonación justa, modo kumoi.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396 Hz in just intonation, kumoi mode.
To accompany a breathing practice.
Original composition, synthesized from scratch. No third-party samples.
Capítulos:
00:00 [completar tras el montaje]</t>
        </is>
      </c>
      <c r="E4" s="2" t="inlineStr">
        <is>
          <t>396 HZ</t>
        </is>
      </c>
      <c r="F4" s="2" t="inlineStr">
        <is>
          <t>#Meditación #MúsicaRelajante #396Hz</t>
        </is>
      </c>
      <c r="G4" s="3" t="inlineStr">
        <is>
          <t>396 hz, música 396 hz, música de meditación, meditation music, frecuencias, kumoi, música relajante, meditación, relajación, entonación justa, composición original, relaxing music, sleep music, singing bowls, just intonation</t>
        </is>
      </c>
      <c r="H4" s="4" t="inlineStr"/>
      <c r="I4" s="4" t="inlineStr"/>
      <c r="J4" s="2" t="n">
        <v>396</v>
      </c>
      <c r="K4" s="2" t="inlineStr">
        <is>
          <t>kumoi</t>
        </is>
      </c>
      <c r="L4" s="2" t="inlineStr">
        <is>
          <t>medio</t>
        </is>
      </c>
      <c r="M4" s="2" t="n">
        <v>338018</v>
      </c>
      <c r="N4" s="2" t="n">
        <v>60</v>
      </c>
      <c r="O4" s="3" t="inlineStr">
        <is>
          <t>python3 03-composicion/compositor.py --minutos 60 --raiz 396 --modo kumoi --semilla 338018</t>
        </is>
      </c>
      <c r="P4" s="4" t="inlineStr">
        <is>
          <t>pendiente</t>
        </is>
      </c>
      <c r="Q4" s="4" t="inlineStr"/>
      <c r="R4" s="4" t="inlineStr"/>
      <c r="S4" s="4" t="inlineStr"/>
      <c r="T4" s="5">
        <f>IFERROR(S4/R4*1000,"")</f>
        <v/>
      </c>
    </row>
    <row r="5" ht="58" customHeight="1">
      <c r="A5" s="2" t="inlineStr">
        <is>
          <t>OBRA-004</t>
        </is>
      </c>
      <c r="B5" s="3" t="inlineStr">
        <is>
          <t>Música de meditación · 417 Hz · Puerta baja · 45 minutos</t>
        </is>
      </c>
      <c r="C5" s="2" t="inlineStr">
        <is>
          <t>Frecuencias</t>
        </is>
      </c>
      <c r="D5" s="3" t="inlineStr">
        <is>
          <t>Puerta baja · 45 minutos
Compuesta con raíz en 417 Hz, en entonación justa, modo hirajoshi.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417 Hz in just intonation, hirajoshi mode.
To accompany a breathing practice.
Original composition, synthesized from scratch. No third-party samples.
Capítulos:
00:00 [completar tras el montaje]</t>
        </is>
      </c>
      <c r="E5" s="2" t="inlineStr">
        <is>
          <t>417 HZ</t>
        </is>
      </c>
      <c r="F5" s="2" t="inlineStr">
        <is>
          <t>#Meditación #MúsicaRelajante #417Hz</t>
        </is>
      </c>
      <c r="G5" s="3" t="inlineStr">
        <is>
          <t>417 hz, música 417 hz, música de meditación, meditation music, frecuencias, hirajoshi, música relajante, meditación, relajación, entonación justa, composición original, relaxing music, sleep music, singing bowls, just intonation</t>
        </is>
      </c>
      <c r="H5" s="4" t="inlineStr"/>
      <c r="I5" s="4" t="inlineStr"/>
      <c r="J5" s="2" t="n">
        <v>417</v>
      </c>
      <c r="K5" s="2" t="inlineStr">
        <is>
          <t>hirajoshi</t>
        </is>
      </c>
      <c r="L5" s="2" t="inlineStr">
        <is>
          <t>medio</t>
        </is>
      </c>
      <c r="M5" s="2" t="n">
        <v>409966</v>
      </c>
      <c r="N5" s="2" t="n">
        <v>45</v>
      </c>
      <c r="O5" s="3" t="inlineStr">
        <is>
          <t>python3 03-composicion/compositor.py --minutos 45 --raiz 417 --modo hirajoshi --semilla 409966</t>
        </is>
      </c>
      <c r="P5" s="4" t="inlineStr">
        <is>
          <t>pendiente</t>
        </is>
      </c>
      <c r="Q5" s="4" t="inlineStr"/>
      <c r="R5" s="4" t="inlineStr"/>
      <c r="S5" s="4" t="inlineStr"/>
      <c r="T5" s="5">
        <f>IFERROR(S5/R5*1000,"")</f>
        <v/>
      </c>
    </row>
    <row r="6" ht="58" customHeight="1">
      <c r="A6" s="2" t="inlineStr">
        <is>
          <t>OBRA-005</t>
        </is>
      </c>
      <c r="B6" s="3" t="inlineStr">
        <is>
          <t>Música de meditación · 639 Hz · Campo abierto · 1 hora</t>
        </is>
      </c>
      <c r="C6" s="2" t="inlineStr">
        <is>
          <t>Frecuencias</t>
        </is>
      </c>
      <c r="D6" s="3" t="inlineStr">
        <is>
          <t>Campo abierto · 1 hora
Compuesta con raíz en 639 Hz, en entonación justa, modo yo.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639 Hz in just intonation, yo mode.
To accompany a breathing practice.
Original composition, synthesized from scratch. No third-party samples.
Capítulos:
00:00 [completar tras el montaje]</t>
        </is>
      </c>
      <c r="E6" s="2" t="inlineStr">
        <is>
          <t>639 HZ</t>
        </is>
      </c>
      <c r="F6" s="2" t="inlineStr">
        <is>
          <t>#Meditación #MúsicaRelajante #639Hz</t>
        </is>
      </c>
      <c r="G6" s="3" t="inlineStr">
        <is>
          <t>639 hz, música 639 hz, música de meditación, meditation music, frecuencias, yo, música relajante, meditación, relajación, entonación justa, composición original, relaxing music, sleep music, singing bowls, just intonation</t>
        </is>
      </c>
      <c r="H6" s="4" t="inlineStr"/>
      <c r="I6" s="4" t="inlineStr"/>
      <c r="J6" s="2" t="n">
        <v>639</v>
      </c>
      <c r="K6" s="2" t="inlineStr">
        <is>
          <t>yo</t>
        </is>
      </c>
      <c r="L6" s="2" t="inlineStr">
        <is>
          <t>medio</t>
        </is>
      </c>
      <c r="M6" s="2" t="n">
        <v>133046</v>
      </c>
      <c r="N6" s="2" t="n">
        <v>60</v>
      </c>
      <c r="O6" s="3" t="inlineStr">
        <is>
          <t>python3 03-composicion/compositor.py --minutos 60 --raiz 639 --modo yo --semilla 133046</t>
        </is>
      </c>
      <c r="P6" s="4" t="inlineStr">
        <is>
          <t>pendiente</t>
        </is>
      </c>
      <c r="Q6" s="4" t="inlineStr"/>
      <c r="R6" s="4" t="inlineStr"/>
      <c r="S6" s="4" t="inlineStr"/>
      <c r="T6" s="5">
        <f>IFERROR(S6/R6*1000,"")</f>
        <v/>
      </c>
    </row>
    <row r="7" ht="58" customHeight="1">
      <c r="A7" s="2" t="inlineStr">
        <is>
          <t>OBRA-006</t>
        </is>
      </c>
      <c r="B7" s="3" t="inlineStr">
        <is>
          <t>Música de meditación · 741 Hz · Aire delgado · 45 minutos</t>
        </is>
      </c>
      <c r="C7" s="2" t="inlineStr">
        <is>
          <t>Frecuencias</t>
        </is>
      </c>
      <c r="D7" s="3" t="inlineStr">
        <is>
          <t>Aire delgado · 45 minutos
Compuesta con raíz en 741 Hz, en entonación justa, modo yo.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741 Hz in just intonation, yo mode.
To accompany a breathing practice.
Original composition, synthesized from scratch. No third-party samples.
Capítulos:
00:00 [completar tras el montaje]</t>
        </is>
      </c>
      <c r="E7" s="2" t="inlineStr">
        <is>
          <t>741 HZ</t>
        </is>
      </c>
      <c r="F7" s="2" t="inlineStr">
        <is>
          <t>#Meditación #MúsicaRelajante #741Hz</t>
        </is>
      </c>
      <c r="G7" s="3" t="inlineStr">
        <is>
          <t>741 hz, música 741 hz, música de meditación, meditation music, frecuencias, yo, música relajante, meditación, relajación, entonación justa, composición original, relaxing music, sleep music, singing bowls, just intonation</t>
        </is>
      </c>
      <c r="H7" s="4" t="inlineStr"/>
      <c r="I7" s="4" t="inlineStr"/>
      <c r="J7" s="2" t="n">
        <v>741</v>
      </c>
      <c r="K7" s="2" t="inlineStr">
        <is>
          <t>yo</t>
        </is>
      </c>
      <c r="L7" s="2" t="inlineStr">
        <is>
          <t>medio</t>
        </is>
      </c>
      <c r="M7" s="2" t="n">
        <v>244487</v>
      </c>
      <c r="N7" s="2" t="n">
        <v>45</v>
      </c>
      <c r="O7" s="3" t="inlineStr">
        <is>
          <t>python3 03-composicion/compositor.py --minutos 45 --raiz 741 --modo yo --semilla 244487</t>
        </is>
      </c>
      <c r="P7" s="4" t="inlineStr">
        <is>
          <t>pendiente</t>
        </is>
      </c>
      <c r="Q7" s="4" t="inlineStr"/>
      <c r="R7" s="4" t="inlineStr"/>
      <c r="S7" s="4" t="inlineStr"/>
      <c r="T7" s="5">
        <f>IFERROR(S7/R7*1000,"")</f>
        <v/>
      </c>
    </row>
    <row r="8" ht="58" customHeight="1">
      <c r="A8" s="2" t="inlineStr">
        <is>
          <t>OBRA-007</t>
        </is>
      </c>
      <c r="B8" s="3" t="inlineStr">
        <is>
          <t>Música de meditación · 852 Hz · Última luz · 45 minutos</t>
        </is>
      </c>
      <c r="C8" s="2" t="inlineStr">
        <is>
          <t>Frecuencias</t>
        </is>
      </c>
      <c r="D8" s="3" t="inlineStr">
        <is>
          <t>Última luz · 45 minutos
Compuesta con raíz en 852 Hz, en entonación justa, modo hirajoshi.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852 Hz in just intonation, hirajoshi mode.
To accompany a breathing practice.
Original composition, synthesized from scratch. No third-party samples.
Capítulos:
00:00 [completar tras el montaje]</t>
        </is>
      </c>
      <c r="E8" s="2" t="inlineStr">
        <is>
          <t>852 HZ</t>
        </is>
      </c>
      <c r="F8" s="2" t="inlineStr">
        <is>
          <t>#Meditación #MúsicaRelajante #852Hz</t>
        </is>
      </c>
      <c r="G8" s="3" t="inlineStr">
        <is>
          <t>852 hz, música 852 hz, música de meditación, meditation music, frecuencias, hirajoshi, música relajante, meditación, relajación, entonación justa, composición original, relaxing music, sleep music, singing bowls, just intonation</t>
        </is>
      </c>
      <c r="H8" s="4" t="inlineStr"/>
      <c r="I8" s="4" t="inlineStr"/>
      <c r="J8" s="2" t="n">
        <v>852</v>
      </c>
      <c r="K8" s="2" t="inlineStr">
        <is>
          <t>hirajoshi</t>
        </is>
      </c>
      <c r="L8" s="2" t="inlineStr">
        <is>
          <t>medio</t>
        </is>
      </c>
      <c r="M8" s="2" t="n">
        <v>288169</v>
      </c>
      <c r="N8" s="2" t="n">
        <v>45</v>
      </c>
      <c r="O8" s="3" t="inlineStr">
        <is>
          <t>python3 03-composicion/compositor.py --minutos 45 --raiz 852 --modo hirajoshi --semilla 288169</t>
        </is>
      </c>
      <c r="P8" s="4" t="inlineStr">
        <is>
          <t>pendiente</t>
        </is>
      </c>
      <c r="Q8" s="4" t="inlineStr"/>
      <c r="R8" s="4" t="inlineStr"/>
      <c r="S8" s="4" t="inlineStr"/>
      <c r="T8" s="5">
        <f>IFERROR(S8/R8*1000,"")</f>
        <v/>
      </c>
    </row>
    <row r="9" ht="58" customHeight="1">
      <c r="A9" s="2" t="inlineStr">
        <is>
          <t>OBRA-008</t>
        </is>
      </c>
      <c r="B9" s="3" t="inlineStr">
        <is>
          <t>Música de meditación · 528 Hz · Raíz de sal, larga · 3 horas</t>
        </is>
      </c>
      <c r="C9" s="2" t="inlineStr">
        <is>
          <t>Frecuencias</t>
        </is>
      </c>
      <c r="D9" s="3" t="inlineStr">
        <is>
          <t>Raíz de sal, larga · 3 horas
Compuesta con raíz en 528 Hz, en entonación justa, modo hirajoshi.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528 Hz in just intonation, hirajoshi mode.
To accompany a breathing practice.
Original composition, synthesized from scratch. No third-party samples.
Capítulos:
00:00 [completar tras el montaje]</t>
        </is>
      </c>
      <c r="E9" s="2" t="inlineStr">
        <is>
          <t>528 HZ</t>
        </is>
      </c>
      <c r="F9" s="2" t="inlineStr">
        <is>
          <t>#Meditación #MúsicaRelajante #528Hz</t>
        </is>
      </c>
      <c r="G9" s="3" t="inlineStr">
        <is>
          <t>528 hz, música 528 hz, música de meditación, meditation music, frecuencias, hirajoshi, música relajante, meditación, relajación, entonación justa, composición original, relaxing music, sleep music, singing bowls, just intonation</t>
        </is>
      </c>
      <c r="H9" s="4" t="inlineStr"/>
      <c r="I9" s="4" t="inlineStr"/>
      <c r="J9" s="2" t="n">
        <v>528</v>
      </c>
      <c r="K9" s="2" t="inlineStr">
        <is>
          <t>hirajoshi</t>
        </is>
      </c>
      <c r="L9" s="2" t="inlineStr">
        <is>
          <t>medio</t>
        </is>
      </c>
      <c r="M9" s="2" t="n">
        <v>638156</v>
      </c>
      <c r="N9" s="2" t="n">
        <v>180</v>
      </c>
      <c r="O9" s="3" t="inlineStr">
        <is>
          <t>python3 03-composicion/compositor.py --minutos 180 --raiz 528 --modo hirajoshi --semilla 638156</t>
        </is>
      </c>
      <c r="P9" s="4" t="inlineStr">
        <is>
          <t>pendiente</t>
        </is>
      </c>
      <c r="Q9" s="4" t="inlineStr"/>
      <c r="R9" s="4" t="inlineStr"/>
      <c r="S9" s="4" t="inlineStr"/>
      <c r="T9" s="5">
        <f>IFERROR(S9/R9*1000,"")</f>
        <v/>
      </c>
    </row>
    <row r="10" ht="58" customHeight="1">
      <c r="A10" s="2" t="inlineStr">
        <is>
          <t>OBRA-009</t>
        </is>
      </c>
      <c r="B10" s="3" t="inlineStr">
        <is>
          <t>Música para dormir · 432 Hz · Noche sin fondo · 3 horas</t>
        </is>
      </c>
      <c r="C10" s="2" t="inlineStr">
        <is>
          <t>Sueño</t>
        </is>
      </c>
      <c r="D10" s="3" t="inlineStr">
        <is>
          <t>Noche sin fondo · 3 horas
Compuesta con raíz en 216 Hz, la octava grave de 432 Hz, en entonación justa, modo shin.
Para acompañar el sueño.
Ciclo respiratorio: de 4.5 a 3.5 respiraciones por minuto, inhalar 40 % / exhalar 60 %.
Cuencos y canto de ave sintetizados, sin grabaciones.
Composición original, sintetizada desde cero. Ninguna muestra procede de terceros.
— English —
Composed with a root of 432 Hz in just intonation, shin mode.
To accompany sleep.
Original composition, synthesized from scratch. No third-party samples.
Capítulos:
00:00 [completar tras el montaje]</t>
        </is>
      </c>
      <c r="E10" s="2" t="inlineStr">
        <is>
          <t>3 HORAS</t>
        </is>
      </c>
      <c r="F10" s="2" t="inlineStr">
        <is>
          <t>#MúsicaParaDormir #MúsicaRelajante #432Hz</t>
        </is>
      </c>
      <c r="G10" s="3" t="inlineStr">
        <is>
          <t>432 hz, música 432 hz, música para dormir, sleep music, sueño, shin, música relajante, meditación, relajación, entonación justa, composición original, meditation music, relaxing music, singing bowls, just intonation</t>
        </is>
      </c>
      <c r="H10" s="4" t="inlineStr"/>
      <c r="I10" s="4" t="inlineStr"/>
      <c r="J10" s="2" t="n">
        <v>432</v>
      </c>
      <c r="K10" s="2" t="inlineStr">
        <is>
          <t>shin</t>
        </is>
      </c>
      <c r="L10" s="2" t="inlineStr">
        <is>
          <t>grave</t>
        </is>
      </c>
      <c r="M10" s="2" t="n">
        <v>505716</v>
      </c>
      <c r="N10" s="2" t="n">
        <v>180</v>
      </c>
      <c r="O10" s="3" t="inlineStr">
        <is>
          <t>python3 03-composicion/compositor.py --minutos 180 --raiz 432 --modo shin --semilla 505716 --registro grave</t>
        </is>
      </c>
      <c r="P10" s="4" t="inlineStr">
        <is>
          <t>pendiente</t>
        </is>
      </c>
      <c r="Q10" s="4" t="inlineStr"/>
      <c r="R10" s="4" t="inlineStr"/>
      <c r="S10" s="4" t="inlineStr"/>
      <c r="T10" s="5">
        <f>IFERROR(S10/R10*1000,"")</f>
        <v/>
      </c>
    </row>
    <row r="11" ht="58" customHeight="1">
      <c r="A11" s="2" t="inlineStr">
        <is>
          <t>OBRA-010</t>
        </is>
      </c>
      <c r="B11" s="3" t="inlineStr">
        <is>
          <t>Música para dormir · 396 Hz · Cuarto oscuro · 2 horas</t>
        </is>
      </c>
      <c r="C11" s="2" t="inlineStr">
        <is>
          <t>Sueño</t>
        </is>
      </c>
      <c r="D11" s="3" t="inlineStr">
        <is>
          <t>Cuarto oscuro · 2 horas
Compuesta con raíz en 198 Hz, la octava grave de 396 Hz, en entonación justa, modo kumoi.
Para acompañar el sueño.
Ciclo respiratorio: de 4.5 a 3.5 respiraciones por minuto, inhalar 40 % / exhalar 60 %.
Cuencos y canto de ave sintetizados, sin grabaciones.
Composición original, sintetizada desde cero. Ninguna muestra procede de terceros.
— English —
Composed with a root of 396 Hz in just intonation, kumoi mode.
To accompany sleep.
Original composition, synthesized from scratch. No third-party samples.
Capítulos:
00:00 [completar tras el montaje]</t>
        </is>
      </c>
      <c r="E11" s="2" t="inlineStr">
        <is>
          <t>2 HORAS</t>
        </is>
      </c>
      <c r="F11" s="2" t="inlineStr">
        <is>
          <t>#MúsicaParaDormir #MúsicaRelajante #396Hz</t>
        </is>
      </c>
      <c r="G11" s="3" t="inlineStr">
        <is>
          <t>396 hz, música 396 hz, música para dormir, sleep music, sueño, kumoi, música relajante, meditación, relajación, entonación justa, composición original, meditation music, relaxing music, singing bowls, just intonation</t>
        </is>
      </c>
      <c r="H11" s="4" t="inlineStr"/>
      <c r="I11" s="4" t="inlineStr"/>
      <c r="J11" s="2" t="n">
        <v>396</v>
      </c>
      <c r="K11" s="2" t="inlineStr">
        <is>
          <t>kumoi</t>
        </is>
      </c>
      <c r="L11" s="2" t="inlineStr">
        <is>
          <t>grave</t>
        </is>
      </c>
      <c r="M11" s="2" t="n">
        <v>692584</v>
      </c>
      <c r="N11" s="2" t="n">
        <v>120</v>
      </c>
      <c r="O11" s="3" t="inlineStr">
        <is>
          <t>python3 03-composicion/compositor.py --minutos 120 --raiz 396 --modo kumoi --semilla 692584 --registro grave</t>
        </is>
      </c>
      <c r="P11" s="4" t="inlineStr">
        <is>
          <t>pendiente</t>
        </is>
      </c>
      <c r="Q11" s="4" t="inlineStr"/>
      <c r="R11" s="4" t="inlineStr"/>
      <c r="S11" s="4" t="inlineStr"/>
      <c r="T11" s="5">
        <f>IFERROR(S11/R11*1000,"")</f>
        <v/>
      </c>
    </row>
    <row r="12" ht="58" customHeight="1">
      <c r="A12" s="2" t="inlineStr">
        <is>
          <t>OBRA-011</t>
        </is>
      </c>
      <c r="B12" s="3" t="inlineStr">
        <is>
          <t>Música para dormir · 432 Hz · Respiración de invierno · 2 horas</t>
        </is>
      </c>
      <c r="C12" s="2" t="inlineStr">
        <is>
          <t>Sueño</t>
        </is>
      </c>
      <c r="D12" s="3" t="inlineStr">
        <is>
          <t>Respiración de invierno · 2 horas
Compuesta con raíz en 216 Hz, la octava grave de 432 Hz, en entonación justa, modo kumoi.
Para acompañar el sueño.
Ciclo respiratorio: de 4.5 a 3.5 respiraciones por minuto, inhalar 40 % / exhalar 60 %.
Cuencos y canto de ave sintetizados, sin grabaciones.
Composición original, sintetizada desde cero. Ninguna muestra procede de terceros.
— English —
Composed with a root of 432 Hz in just intonation, kumoi mode.
To accompany sleep.
Original composition, synthesized from scratch. No third-party samples.
Capítulos:
00:00 [completar tras el montaje]</t>
        </is>
      </c>
      <c r="E12" s="2" t="inlineStr">
        <is>
          <t>2 HORAS</t>
        </is>
      </c>
      <c r="F12" s="2" t="inlineStr">
        <is>
          <t>#MúsicaParaDormir #MúsicaRelajante #432Hz</t>
        </is>
      </c>
      <c r="G12" s="3" t="inlineStr">
        <is>
          <t>432 hz, música 432 hz, música para dormir, sleep music, sueño, kumoi, música relajante, meditación, relajación, entonación justa, composición original, meditation music, relaxing music, singing bowls, just intonation</t>
        </is>
      </c>
      <c r="H12" s="4" t="inlineStr"/>
      <c r="I12" s="4" t="inlineStr"/>
      <c r="J12" s="2" t="n">
        <v>432</v>
      </c>
      <c r="K12" s="2" t="inlineStr">
        <is>
          <t>kumoi</t>
        </is>
      </c>
      <c r="L12" s="2" t="inlineStr">
        <is>
          <t>grave</t>
        </is>
      </c>
      <c r="M12" s="2" t="n">
        <v>531725</v>
      </c>
      <c r="N12" s="2" t="n">
        <v>120</v>
      </c>
      <c r="O12" s="3" t="inlineStr">
        <is>
          <t>python3 03-composicion/compositor.py --minutos 120 --raiz 432 --modo kumoi --semilla 531725 --registro grave</t>
        </is>
      </c>
      <c r="P12" s="4" t="inlineStr">
        <is>
          <t>pendiente</t>
        </is>
      </c>
      <c r="Q12" s="4" t="inlineStr"/>
      <c r="R12" s="4" t="inlineStr"/>
      <c r="S12" s="4" t="inlineStr"/>
      <c r="T12" s="5">
        <f>IFERROR(S12/R12*1000,"")</f>
        <v/>
      </c>
    </row>
    <row r="13" ht="58" customHeight="1">
      <c r="A13" s="2" t="inlineStr">
        <is>
          <t>OBRA-012</t>
        </is>
      </c>
      <c r="B13" s="3" t="inlineStr">
        <is>
          <t>Música para dormir · 528 Hz · Nadie despierto · 3 horas</t>
        </is>
      </c>
      <c r="C13" s="2" t="inlineStr">
        <is>
          <t>Sueño</t>
        </is>
      </c>
      <c r="D13" s="3" t="inlineStr">
        <is>
          <t>Nadie despierto · 3 horas
Compuesta con raíz en 264 Hz, la octava grave de 528 Hz, en entonación justa, modo shin.
Para acompañar el sueño.
Ciclo respiratorio: de 4.5 a 3.5 respiraciones por minuto, inhalar 40 % / exhalar 60 %.
Cuencos y canto de ave sintetizados, sin grabaciones.
Composición original, sintetizada desde cero. Ninguna muestra procede de terceros.
— English —
Composed with a root of 528 Hz in just intonation, shin mode.
To accompany sleep.
Original composition, synthesized from scratch. No third-party samples.
Capítulos:
00:00 [completar tras el montaje]</t>
        </is>
      </c>
      <c r="E13" s="2" t="inlineStr">
        <is>
          <t>3 HORAS</t>
        </is>
      </c>
      <c r="F13" s="2" t="inlineStr">
        <is>
          <t>#MúsicaParaDormir #MúsicaRelajante #528Hz</t>
        </is>
      </c>
      <c r="G13" s="3" t="inlineStr">
        <is>
          <t>528 hz, música 528 hz, música para dormir, sleep music, sueño, shin, música relajante, meditación, relajación, entonación justa, composición original, meditation music, relaxing music, singing bowls, just intonation</t>
        </is>
      </c>
      <c r="H13" s="4" t="inlineStr"/>
      <c r="I13" s="4" t="inlineStr"/>
      <c r="J13" s="2" t="n">
        <v>528</v>
      </c>
      <c r="K13" s="2" t="inlineStr">
        <is>
          <t>shin</t>
        </is>
      </c>
      <c r="L13" s="2" t="inlineStr">
        <is>
          <t>grave</t>
        </is>
      </c>
      <c r="M13" s="2" t="n">
        <v>751043</v>
      </c>
      <c r="N13" s="2" t="n">
        <v>180</v>
      </c>
      <c r="O13" s="3" t="inlineStr">
        <is>
          <t>python3 03-composicion/compositor.py --minutos 180 --raiz 528 --modo shin --semilla 751043 --registro grave</t>
        </is>
      </c>
      <c r="P13" s="4" t="inlineStr">
        <is>
          <t>pendiente</t>
        </is>
      </c>
      <c r="Q13" s="4" t="inlineStr"/>
      <c r="R13" s="4" t="inlineStr"/>
      <c r="S13" s="4" t="inlineStr"/>
      <c r="T13" s="5">
        <f>IFERROR(S13/R13*1000,"")</f>
        <v/>
      </c>
    </row>
    <row r="14" ht="58" customHeight="1">
      <c r="A14" s="2" t="inlineStr">
        <is>
          <t>OBRA-013</t>
        </is>
      </c>
      <c r="B14" s="3" t="inlineStr">
        <is>
          <t>Música para dormir · 417 Hz · Antes del alba · 90 minutos</t>
        </is>
      </c>
      <c r="C14" s="2" t="inlineStr">
        <is>
          <t>Sueño</t>
        </is>
      </c>
      <c r="D14" s="3" t="inlineStr">
        <is>
          <t>Antes del alba · 90 minutos
Compuesta con raíz en 208.5 Hz, la octava grave de 417 Hz, en entonación justa, modo kumoi.
Para acompañar el sueño.
Ciclo respiratorio: de 4.5 a 3.5 respiraciones por minuto, inhalar 40 % / exhalar 60 %.
Cuencos y canto de ave sintetizados, sin grabaciones.
Composición original, sintetizada desde cero. Ninguna muestra procede de terceros.
— English —
Composed with a root of 417 Hz in just intonation, kumoi mode.
To accompany sleep.
Original composition, synthesized from scratch. No third-party samples.
Capítulos:
00:00 [completar tras el montaje]</t>
        </is>
      </c>
      <c r="E14" s="2" t="inlineStr">
        <is>
          <t>90 MIN</t>
        </is>
      </c>
      <c r="F14" s="2" t="inlineStr">
        <is>
          <t>#MúsicaParaDormir #MúsicaRelajante #417Hz</t>
        </is>
      </c>
      <c r="G14" s="3" t="inlineStr">
        <is>
          <t>417 hz, música 417 hz, música para dormir, sleep music, sueño, kumoi, música relajante, meditación, relajación, entonación justa, composición original, meditation music, relaxing music, singing bowls, just intonation</t>
        </is>
      </c>
      <c r="H14" s="4" t="inlineStr"/>
      <c r="I14" s="4" t="inlineStr"/>
      <c r="J14" s="2" t="n">
        <v>417</v>
      </c>
      <c r="K14" s="2" t="inlineStr">
        <is>
          <t>kumoi</t>
        </is>
      </c>
      <c r="L14" s="2" t="inlineStr">
        <is>
          <t>grave</t>
        </is>
      </c>
      <c r="M14" s="2" t="n">
        <v>813147</v>
      </c>
      <c r="N14" s="2" t="n">
        <v>90</v>
      </c>
      <c r="O14" s="3" t="inlineStr">
        <is>
          <t>python3 03-composicion/compositor.py --minutos 90 --raiz 417 --modo kumoi --semilla 813147 --registro grave</t>
        </is>
      </c>
      <c r="P14" s="4" t="inlineStr">
        <is>
          <t>pendiente</t>
        </is>
      </c>
      <c r="Q14" s="4" t="inlineStr"/>
      <c r="R14" s="4" t="inlineStr"/>
      <c r="S14" s="4" t="inlineStr"/>
      <c r="T14" s="5">
        <f>IFERROR(S14/R14*1000,"")</f>
        <v/>
      </c>
    </row>
    <row r="15" ht="58" customHeight="1">
      <c r="A15" s="2" t="inlineStr">
        <is>
          <t>OBRA-014</t>
        </is>
      </c>
      <c r="B15" s="3" t="inlineStr">
        <is>
          <t>Música para dormir · 396 Hz · Peso lento · 2 horas</t>
        </is>
      </c>
      <c r="C15" s="2" t="inlineStr">
        <is>
          <t>Sueño</t>
        </is>
      </c>
      <c r="D15" s="3" t="inlineStr">
        <is>
          <t>Peso lento · 2 horas
Compuesta con raíz en 198 Hz, la octava grave de 396 Hz, en entonación justa, modo shin.
Para acompañar el sueño.
Ciclo respiratorio: de 4.5 a 3.5 respiraciones por minuto, inhalar 40 % / exhalar 60 %.
Cuencos y canto de ave sintetizados, sin grabaciones.
Composición original, sintetizada desde cero. Ninguna muestra procede de terceros.
— English —
Composed with a root of 396 Hz in just intonation, shin mode.
To accompany sleep.
Original composition, synthesized from scratch. No third-party samples.
Capítulos:
00:00 [completar tras el montaje]</t>
        </is>
      </c>
      <c r="E15" s="2" t="inlineStr">
        <is>
          <t>2 HORAS</t>
        </is>
      </c>
      <c r="F15" s="2" t="inlineStr">
        <is>
          <t>#MúsicaParaDormir #MúsicaRelajante #396Hz</t>
        </is>
      </c>
      <c r="G15" s="3" t="inlineStr">
        <is>
          <t>396 hz, música 396 hz, música para dormir, sleep music, sueño, shin, música relajante, meditación, relajación, entonación justa, composición original, meditation music, relaxing music, singing bowls, just intonation</t>
        </is>
      </c>
      <c r="H15" s="4" t="inlineStr"/>
      <c r="I15" s="4" t="inlineStr"/>
      <c r="J15" s="2" t="n">
        <v>396</v>
      </c>
      <c r="K15" s="2" t="inlineStr">
        <is>
          <t>shin</t>
        </is>
      </c>
      <c r="L15" s="2" t="inlineStr">
        <is>
          <t>grave</t>
        </is>
      </c>
      <c r="M15" s="2" t="n">
        <v>885916</v>
      </c>
      <c r="N15" s="2" t="n">
        <v>120</v>
      </c>
      <c r="O15" s="3" t="inlineStr">
        <is>
          <t>python3 03-composicion/compositor.py --minutos 120 --raiz 396 --modo shin --semilla 885916 --registro grave</t>
        </is>
      </c>
      <c r="P15" s="4" t="inlineStr">
        <is>
          <t>pendiente</t>
        </is>
      </c>
      <c r="Q15" s="4" t="inlineStr"/>
      <c r="R15" s="4" t="inlineStr"/>
      <c r="S15" s="4" t="inlineStr"/>
      <c r="T15" s="5">
        <f>IFERROR(S15/R15*1000,"")</f>
        <v/>
      </c>
    </row>
    <row r="16" ht="58" customHeight="1">
      <c r="A16" s="2" t="inlineStr">
        <is>
          <t>OBRA-015</t>
        </is>
      </c>
      <c r="B16" s="3" t="inlineStr">
        <is>
          <t>Música para dormir · 432 Hz · La casa dormida · 3 horas</t>
        </is>
      </c>
      <c r="C16" s="2" t="inlineStr">
        <is>
          <t>Sueño</t>
        </is>
      </c>
      <c r="D16" s="3" t="inlineStr">
        <is>
          <t>La casa dormida · 3 horas
Compuesta con raíz en 216 Hz, la octava grave de 432 Hz, en entonación justa, modo kumoi.
Para acompañar el sueño.
Ciclo respiratorio: de 4.5 a 3.5 respiraciones por minuto, inhalar 40 % / exhalar 60 %.
Cuencos y canto de ave sintetizados, sin grabaciones.
Composición original, sintetizada desde cero. Ninguna muestra procede de terceros.
— English —
Composed with a root of 432 Hz in just intonation, kumoi mode.
To accompany sleep.
Original composition, synthesized from scratch. No third-party samples.
Capítulos:
00:00 [completar tras el montaje]</t>
        </is>
      </c>
      <c r="E16" s="2" t="inlineStr">
        <is>
          <t>3 HORAS</t>
        </is>
      </c>
      <c r="F16" s="2" t="inlineStr">
        <is>
          <t>#MúsicaParaDormir #MúsicaRelajante #432Hz</t>
        </is>
      </c>
      <c r="G16" s="3" t="inlineStr">
        <is>
          <t>432 hz, música 432 hz, música para dormir, sleep music, sueño, kumoi, música relajante, meditación, relajación, entonación justa, composición original, meditation music, relaxing music, singing bowls, just intonation</t>
        </is>
      </c>
      <c r="H16" s="4" t="inlineStr"/>
      <c r="I16" s="4" t="inlineStr"/>
      <c r="J16" s="2" t="n">
        <v>432</v>
      </c>
      <c r="K16" s="2" t="inlineStr">
        <is>
          <t>kumoi</t>
        </is>
      </c>
      <c r="L16" s="2" t="inlineStr">
        <is>
          <t>grave</t>
        </is>
      </c>
      <c r="M16" s="2" t="n">
        <v>295910</v>
      </c>
      <c r="N16" s="2" t="n">
        <v>180</v>
      </c>
      <c r="O16" s="3" t="inlineStr">
        <is>
          <t>python3 03-composicion/compositor.py --minutos 180 --raiz 432 --modo kumoi --semilla 295910 --registro grave</t>
        </is>
      </c>
      <c r="P16" s="4" t="inlineStr">
        <is>
          <t>pendiente</t>
        </is>
      </c>
      <c r="Q16" s="4" t="inlineStr"/>
      <c r="R16" s="4" t="inlineStr"/>
      <c r="S16" s="4" t="inlineStr"/>
      <c r="T16" s="5">
        <f>IFERROR(S16/R16*1000,"")</f>
        <v/>
      </c>
    </row>
    <row r="17" ht="58" customHeight="1">
      <c r="A17" s="2" t="inlineStr">
        <is>
          <t>OBRA-016</t>
        </is>
      </c>
      <c r="B17" s="3" t="inlineStr">
        <is>
          <t>Música para dormir · 528 Hz · Marea baja · 2 horas</t>
        </is>
      </c>
      <c r="C17" s="2" t="inlineStr">
        <is>
          <t>Sueño</t>
        </is>
      </c>
      <c r="D17" s="3" t="inlineStr">
        <is>
          <t>Marea baja · 2 horas
Compuesta con raíz en 264 Hz, la octava grave de 528 Hz, en entonación justa, modo kumoi.
Para acompañar el sueño.
Ciclo respiratorio: de 4.5 a 3.5 respiraciones por minuto, inhalar 40 % / exhalar 60 %.
Cuencos y canto de ave sintetizados, sin grabaciones.
Composición original, sintetizada desde cero. Ninguna muestra procede de terceros.
— English —
Composed with a root of 528 Hz in just intonation, kumoi mode.
To accompany sleep.
Original composition, synthesized from scratch. No third-party samples.
Capítulos:
00:00 [completar tras el montaje]</t>
        </is>
      </c>
      <c r="E17" s="2" t="inlineStr">
        <is>
          <t>2 HORAS</t>
        </is>
      </c>
      <c r="F17" s="2" t="inlineStr">
        <is>
          <t>#MúsicaParaDormir #MúsicaRelajante #528Hz</t>
        </is>
      </c>
      <c r="G17" s="3" t="inlineStr">
        <is>
          <t>528 hz, música 528 hz, música para dormir, sleep music, sueño, kumoi, música relajante, meditación, relajación, entonación justa, composición original, meditation music, relaxing music, singing bowls, just intonation</t>
        </is>
      </c>
      <c r="H17" s="4" t="inlineStr"/>
      <c r="I17" s="4" t="inlineStr"/>
      <c r="J17" s="2" t="n">
        <v>528</v>
      </c>
      <c r="K17" s="2" t="inlineStr">
        <is>
          <t>kumoi</t>
        </is>
      </c>
      <c r="L17" s="2" t="inlineStr">
        <is>
          <t>grave</t>
        </is>
      </c>
      <c r="M17" s="2" t="n">
        <v>443547</v>
      </c>
      <c r="N17" s="2" t="n">
        <v>120</v>
      </c>
      <c r="O17" s="3" t="inlineStr">
        <is>
          <t>python3 03-composicion/compositor.py --minutos 120 --raiz 528 --modo kumoi --semilla 443547 --registro grave</t>
        </is>
      </c>
      <c r="P17" s="4" t="inlineStr">
        <is>
          <t>pendiente</t>
        </is>
      </c>
      <c r="Q17" s="4" t="inlineStr"/>
      <c r="R17" s="4" t="inlineStr"/>
      <c r="S17" s="4" t="inlineStr"/>
      <c r="T17" s="5">
        <f>IFERROR(S17/R17*1000,"")</f>
        <v/>
      </c>
    </row>
    <row r="18" ht="58" customHeight="1">
      <c r="A18" s="2" t="inlineStr">
        <is>
          <t>OBRA-017</t>
        </is>
      </c>
      <c r="B18" s="3" t="inlineStr">
        <is>
          <t>Música para meditar · 528 Hz · Cuatro y seis · 20 minutos</t>
        </is>
      </c>
      <c r="C18" s="2" t="inlineStr">
        <is>
          <t>Respiración</t>
        </is>
      </c>
      <c r="D18" s="3" t="inlineStr">
        <is>
          <t>Cuatro y seis · 20 minutos
Compuesta con raíz en 528 Hz, en entonación justa, modo hirajoshi.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528 Hz in just intonation, hirajoshi mode.
To accompany a breathing practice.
Original composition, synthesized from scratch. No third-party samples.
Capítulos:
00:00 [completar tras el montaje]</t>
        </is>
      </c>
      <c r="E18" s="2" t="inlineStr">
        <is>
          <t>20 MIN</t>
        </is>
      </c>
      <c r="F18" s="2" t="inlineStr">
        <is>
          <t>#Respiración #MúsicaRelajante #528Hz</t>
        </is>
      </c>
      <c r="G18" s="3" t="inlineStr">
        <is>
          <t>528 hz, música 528 hz, música para meditar, meditation music, respiración, hirajoshi, música relajante, meditación, relajación, entonación justa, composición original, relaxing music, sleep music, singing bowls, just intonation</t>
        </is>
      </c>
      <c r="H18" s="4" t="inlineStr"/>
      <c r="I18" s="4" t="inlineStr"/>
      <c r="J18" s="2" t="n">
        <v>528</v>
      </c>
      <c r="K18" s="2" t="inlineStr">
        <is>
          <t>hirajoshi</t>
        </is>
      </c>
      <c r="L18" s="2" t="inlineStr">
        <is>
          <t>medio</t>
        </is>
      </c>
      <c r="M18" s="2" t="n">
        <v>913368</v>
      </c>
      <c r="N18" s="2" t="n">
        <v>20</v>
      </c>
      <c r="O18" s="3" t="inlineStr">
        <is>
          <t>python3 03-composicion/compositor.py --minutos 20 --raiz 528 --modo hirajoshi --semilla 913368</t>
        </is>
      </c>
      <c r="P18" s="4" t="inlineStr">
        <is>
          <t>pendiente</t>
        </is>
      </c>
      <c r="Q18" s="4" t="inlineStr"/>
      <c r="R18" s="4" t="inlineStr"/>
      <c r="S18" s="4" t="inlineStr"/>
      <c r="T18" s="5">
        <f>IFERROR(S18/R18*1000,"")</f>
        <v/>
      </c>
    </row>
    <row r="19" ht="58" customHeight="1">
      <c r="A19" s="2" t="inlineStr">
        <is>
          <t>OBRA-018</t>
        </is>
      </c>
      <c r="B19" s="3" t="inlineStr">
        <is>
          <t>Música para meditar · 432 Hz · Bajar el ritmo · 30 minutos</t>
        </is>
      </c>
      <c r="C19" s="2" t="inlineStr">
        <is>
          <t>Respiración</t>
        </is>
      </c>
      <c r="D19" s="3" t="inlineStr">
        <is>
          <t>Bajar el ritmo · 30 minutos
Compuesta con raíz en 432 Hz, en entonación justa, modo hirajoshi.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432 Hz in just intonation, hirajoshi mode.
To accompany a breathing practice.
Original composition, synthesized from scratch. No third-party samples.
Capítulos:
00:00 [completar tras el montaje]</t>
        </is>
      </c>
      <c r="E19" s="2" t="inlineStr">
        <is>
          <t>30 MIN</t>
        </is>
      </c>
      <c r="F19" s="2" t="inlineStr">
        <is>
          <t>#Respiración #MúsicaRelajante #432Hz</t>
        </is>
      </c>
      <c r="G19" s="3" t="inlineStr">
        <is>
          <t>432 hz, música 432 hz, música para meditar, meditation music, respiración, hirajoshi, música relajante, meditación, relajación, entonación justa, composición original, relaxing music, sleep music, singing bowls, just intonation</t>
        </is>
      </c>
      <c r="H19" s="4" t="inlineStr"/>
      <c r="I19" s="4" t="inlineStr"/>
      <c r="J19" s="2" t="n">
        <v>432</v>
      </c>
      <c r="K19" s="2" t="inlineStr">
        <is>
          <t>hirajoshi</t>
        </is>
      </c>
      <c r="L19" s="2" t="inlineStr">
        <is>
          <t>medio</t>
        </is>
      </c>
      <c r="M19" s="2" t="n">
        <v>739461</v>
      </c>
      <c r="N19" s="2" t="n">
        <v>30</v>
      </c>
      <c r="O19" s="3" t="inlineStr">
        <is>
          <t>python3 03-composicion/compositor.py --minutos 30 --raiz 432 --modo hirajoshi --semilla 739461</t>
        </is>
      </c>
      <c r="P19" s="4" t="inlineStr">
        <is>
          <t>pendiente</t>
        </is>
      </c>
      <c r="Q19" s="4" t="inlineStr"/>
      <c r="R19" s="4" t="inlineStr"/>
      <c r="S19" s="4" t="inlineStr"/>
      <c r="T19" s="5">
        <f>IFERROR(S19/R19*1000,"")</f>
        <v/>
      </c>
    </row>
    <row r="20" ht="58" customHeight="1">
      <c r="A20" s="2" t="inlineStr">
        <is>
          <t>OBRA-019</t>
        </is>
      </c>
      <c r="B20" s="3" t="inlineStr">
        <is>
          <t>Música para meditar · 528 Hz · Entrada y salida · 20 minutos</t>
        </is>
      </c>
      <c r="C20" s="2" t="inlineStr">
        <is>
          <t>Respiración</t>
        </is>
      </c>
      <c r="D20" s="3" t="inlineStr">
        <is>
          <t>Entrada y salida · 20 minutos
Compuesta con raíz en 528 Hz, en entonación justa, modo yo.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528 Hz in just intonation, yo mode.
To accompany a breathing practice.
Original composition, synthesized from scratch. No third-party samples.
Capítulos:
00:00 [completar tras el montaje]</t>
        </is>
      </c>
      <c r="E20" s="2" t="inlineStr">
        <is>
          <t>20 MIN</t>
        </is>
      </c>
      <c r="F20" s="2" t="inlineStr">
        <is>
          <t>#Respiración #MúsicaRelajante #528Hz</t>
        </is>
      </c>
      <c r="G20" s="3" t="inlineStr">
        <is>
          <t>528 hz, música 528 hz, música para meditar, meditation music, respiración, yo, música relajante, meditación, relajación, entonación justa, composición original, relaxing music, sleep music, singing bowls, just intonation</t>
        </is>
      </c>
      <c r="H20" s="4" t="inlineStr"/>
      <c r="I20" s="4" t="inlineStr"/>
      <c r="J20" s="2" t="n">
        <v>528</v>
      </c>
      <c r="K20" s="2" t="inlineStr">
        <is>
          <t>yo</t>
        </is>
      </c>
      <c r="L20" s="2" t="inlineStr">
        <is>
          <t>medio</t>
        </is>
      </c>
      <c r="M20" s="2" t="n">
        <v>310137</v>
      </c>
      <c r="N20" s="2" t="n">
        <v>20</v>
      </c>
      <c r="O20" s="3" t="inlineStr">
        <is>
          <t>python3 03-composicion/compositor.py --minutos 20 --raiz 528 --modo yo --semilla 310137</t>
        </is>
      </c>
      <c r="P20" s="4" t="inlineStr">
        <is>
          <t>pendiente</t>
        </is>
      </c>
      <c r="Q20" s="4" t="inlineStr"/>
      <c r="R20" s="4" t="inlineStr"/>
      <c r="S20" s="4" t="inlineStr"/>
      <c r="T20" s="5">
        <f>IFERROR(S20/R20*1000,"")</f>
        <v/>
      </c>
    </row>
    <row r="21" ht="58" customHeight="1">
      <c r="A21" s="2" t="inlineStr">
        <is>
          <t>OBRA-020</t>
        </is>
      </c>
      <c r="B21" s="3" t="inlineStr">
        <is>
          <t>Música para meditar · 528 Hz · Diez minutos · 10 minutos</t>
        </is>
      </c>
      <c r="C21" s="2" t="inlineStr">
        <is>
          <t>Respiración</t>
        </is>
      </c>
      <c r="D21" s="3" t="inlineStr">
        <is>
          <t>Diez minutos · 10 minutos
Compuesta con raíz en 528 Hz, en entonación justa, modo shin.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528 Hz in just intonation, shin mode.
To accompany a breathing practice.
Original composition, synthesized from scratch. No third-party samples.
Capítulos:
00:00 [completar tras el montaje]</t>
        </is>
      </c>
      <c r="E21" s="2" t="inlineStr">
        <is>
          <t>10 MIN</t>
        </is>
      </c>
      <c r="F21" s="2" t="inlineStr">
        <is>
          <t>#Respiración #MúsicaRelajante #528Hz</t>
        </is>
      </c>
      <c r="G21" s="3" t="inlineStr">
        <is>
          <t>528 hz, música 528 hz, música para meditar, meditation music, respiración, shin, música relajante, meditación, relajación, entonación justa, composición original, relaxing music, sleep music, singing bowls, just intonation</t>
        </is>
      </c>
      <c r="H21" s="4" t="inlineStr"/>
      <c r="I21" s="4" t="inlineStr"/>
      <c r="J21" s="2" t="n">
        <v>528</v>
      </c>
      <c r="K21" s="2" t="inlineStr">
        <is>
          <t>shin</t>
        </is>
      </c>
      <c r="L21" s="2" t="inlineStr">
        <is>
          <t>medio</t>
        </is>
      </c>
      <c r="M21" s="2" t="n">
        <v>207307</v>
      </c>
      <c r="N21" s="2" t="n">
        <v>10</v>
      </c>
      <c r="O21" s="3" t="inlineStr">
        <is>
          <t>python3 03-composicion/compositor.py --minutos 10 --raiz 528 --modo shin --semilla 207307</t>
        </is>
      </c>
      <c r="P21" s="4" t="inlineStr">
        <is>
          <t>pendiente</t>
        </is>
      </c>
      <c r="Q21" s="4" t="inlineStr"/>
      <c r="R21" s="4" t="inlineStr"/>
      <c r="S21" s="4" t="inlineStr"/>
      <c r="T21" s="5">
        <f>IFERROR(S21/R21*1000,"")</f>
        <v/>
      </c>
    </row>
    <row r="22" ht="58" customHeight="1">
      <c r="A22" s="2" t="inlineStr">
        <is>
          <t>OBRA-021</t>
        </is>
      </c>
      <c r="B22" s="3" t="inlineStr">
        <is>
          <t>Música para meditar · 639 Hz · Antes de empezar · 15 minutos</t>
        </is>
      </c>
      <c r="C22" s="2" t="inlineStr">
        <is>
          <t>Respiración</t>
        </is>
      </c>
      <c r="D22" s="3" t="inlineStr">
        <is>
          <t>Antes de empezar · 15 minutos
Compuesta con raíz en 639 Hz, en entonación justa, modo yo.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639 Hz in just intonation, yo mode.
To accompany a breathing practice.
Original composition, synthesized from scratch. No third-party samples.
Capítulos:
00:00 [completar tras el montaje]</t>
        </is>
      </c>
      <c r="E22" s="2" t="inlineStr">
        <is>
          <t>15 MIN</t>
        </is>
      </c>
      <c r="F22" s="2" t="inlineStr">
        <is>
          <t>#Respiración #MúsicaRelajante #639Hz</t>
        </is>
      </c>
      <c r="G22" s="3" t="inlineStr">
        <is>
          <t>639 hz, música 639 hz, música para meditar, meditation music, respiración, yo, música relajante, meditación, relajación, entonación justa, composición original, relaxing music, sleep music, singing bowls, just intonation</t>
        </is>
      </c>
      <c r="H22" s="4" t="inlineStr"/>
      <c r="I22" s="4" t="inlineStr"/>
      <c r="J22" s="2" t="n">
        <v>639</v>
      </c>
      <c r="K22" s="2" t="inlineStr">
        <is>
          <t>yo</t>
        </is>
      </c>
      <c r="L22" s="2" t="inlineStr">
        <is>
          <t>medio</t>
        </is>
      </c>
      <c r="M22" s="2" t="n">
        <v>592463</v>
      </c>
      <c r="N22" s="2" t="n">
        <v>15</v>
      </c>
      <c r="O22" s="3" t="inlineStr">
        <is>
          <t>python3 03-composicion/compositor.py --minutos 15 --raiz 639 --modo yo --semilla 592463</t>
        </is>
      </c>
      <c r="P22" s="4" t="inlineStr">
        <is>
          <t>pendiente</t>
        </is>
      </c>
      <c r="Q22" s="4" t="inlineStr"/>
      <c r="R22" s="4" t="inlineStr"/>
      <c r="S22" s="4" t="inlineStr"/>
      <c r="T22" s="5">
        <f>IFERROR(S22/R22*1000,"")</f>
        <v/>
      </c>
    </row>
    <row r="23" ht="58" customHeight="1">
      <c r="A23" s="2" t="inlineStr">
        <is>
          <t>OBRA-022</t>
        </is>
      </c>
      <c r="B23" s="3" t="inlineStr">
        <is>
          <t>Música para meditar · 396 Hz · Solo exhalar · 25 minutos</t>
        </is>
      </c>
      <c r="C23" s="2" t="inlineStr">
        <is>
          <t>Respiración</t>
        </is>
      </c>
      <c r="D23" s="3" t="inlineStr">
        <is>
          <t>Solo exhalar · 25 minutos
Compuesta con raíz en 396 Hz, en entonación justa, modo kumoi.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396 Hz in just intonation, kumoi mode.
To accompany a breathing practice.
Original composition, synthesized from scratch. No third-party samples.
Capítulos:
00:00 [completar tras el montaje]</t>
        </is>
      </c>
      <c r="E23" s="2" t="inlineStr">
        <is>
          <t>25 MIN</t>
        </is>
      </c>
      <c r="F23" s="2" t="inlineStr">
        <is>
          <t>#Respiración #MúsicaRelajante #396Hz</t>
        </is>
      </c>
      <c r="G23" s="3" t="inlineStr">
        <is>
          <t>396 hz, música 396 hz, música para meditar, meditation music, respiración, kumoi, música relajante, meditación, relajación, entonación justa, composición original, relaxing music, sleep music, singing bowls, just intonation</t>
        </is>
      </c>
      <c r="H23" s="4" t="inlineStr"/>
      <c r="I23" s="4" t="inlineStr"/>
      <c r="J23" s="2" t="n">
        <v>396</v>
      </c>
      <c r="K23" s="2" t="inlineStr">
        <is>
          <t>kumoi</t>
        </is>
      </c>
      <c r="L23" s="2" t="inlineStr">
        <is>
          <t>medio</t>
        </is>
      </c>
      <c r="M23" s="2" t="n">
        <v>555819</v>
      </c>
      <c r="N23" s="2" t="n">
        <v>25</v>
      </c>
      <c r="O23" s="3" t="inlineStr">
        <is>
          <t>python3 03-composicion/compositor.py --minutos 25 --raiz 396 --modo kumoi --semilla 555819</t>
        </is>
      </c>
      <c r="P23" s="4" t="inlineStr">
        <is>
          <t>pendiente</t>
        </is>
      </c>
      <c r="Q23" s="4" t="inlineStr"/>
      <c r="R23" s="4" t="inlineStr"/>
      <c r="S23" s="4" t="inlineStr"/>
      <c r="T23" s="5">
        <f>IFERROR(S23/R23*1000,"")</f>
        <v/>
      </c>
    </row>
    <row r="24" ht="58" customHeight="1">
      <c r="A24" s="2" t="inlineStr">
        <is>
          <t>OBRA-023</t>
        </is>
      </c>
      <c r="B24" s="3" t="inlineStr">
        <is>
          <t>Música para meditar · 432 Hz · Contar hasta seis · 20 minutos</t>
        </is>
      </c>
      <c r="C24" s="2" t="inlineStr">
        <is>
          <t>Respiración</t>
        </is>
      </c>
      <c r="D24" s="3" t="inlineStr">
        <is>
          <t>Contar hasta seis · 20 minutos
Compuesta con raíz en 432 Hz, en entonación justa, modo hirajoshi.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432 Hz in just intonation, hirajoshi mode.
To accompany a breathing practice.
Original composition, synthesized from scratch. No third-party samples.
Capítulos:
00:00 [completar tras el montaje]</t>
        </is>
      </c>
      <c r="E24" s="2" t="inlineStr">
        <is>
          <t>20 MIN</t>
        </is>
      </c>
      <c r="F24" s="2" t="inlineStr">
        <is>
          <t>#Respiración #MúsicaRelajante #432Hz</t>
        </is>
      </c>
      <c r="G24" s="3" t="inlineStr">
        <is>
          <t>432 hz, música 432 hz, música para meditar, meditation music, respiración, hirajoshi, música relajante, meditación, relajación, entonación justa, composición original, relaxing music, sleep music, singing bowls, just intonation</t>
        </is>
      </c>
      <c r="H24" s="4" t="inlineStr"/>
      <c r="I24" s="4" t="inlineStr"/>
      <c r="J24" s="2" t="n">
        <v>432</v>
      </c>
      <c r="K24" s="2" t="inlineStr">
        <is>
          <t>hirajoshi</t>
        </is>
      </c>
      <c r="L24" s="2" t="inlineStr">
        <is>
          <t>medio</t>
        </is>
      </c>
      <c r="M24" s="2" t="n">
        <v>627771</v>
      </c>
      <c r="N24" s="2" t="n">
        <v>20</v>
      </c>
      <c r="O24" s="3" t="inlineStr">
        <is>
          <t>python3 03-composicion/compositor.py --minutos 20 --raiz 432 --modo hirajoshi --semilla 627771</t>
        </is>
      </c>
      <c r="P24" s="4" t="inlineStr">
        <is>
          <t>pendiente</t>
        </is>
      </c>
      <c r="Q24" s="4" t="inlineStr"/>
      <c r="R24" s="4" t="inlineStr"/>
      <c r="S24" s="4" t="inlineStr"/>
      <c r="T24" s="5">
        <f>IFERROR(S24/R24*1000,"")</f>
        <v/>
      </c>
    </row>
    <row r="25" ht="58" customHeight="1">
      <c r="A25" s="2" t="inlineStr">
        <is>
          <t>OBRA-024</t>
        </is>
      </c>
      <c r="B25" s="3" t="inlineStr">
        <is>
          <t>Música para meditar · 417 Hz · El final del día · 30 minutos</t>
        </is>
      </c>
      <c r="C25" s="2" t="inlineStr">
        <is>
          <t>Respiración</t>
        </is>
      </c>
      <c r="D25" s="3" t="inlineStr">
        <is>
          <t>El final del día · 30 minutos
Compuesta con raíz en 417 Hz, en entonación justa, modo kumoi.
Para acompañar una práctica de respiración.
Ciclo respiratorio: de 6.0 a 4.5 respiraciones por minuto, inhalar 40 % / exhalar 60 %.
Cuencos y canto de ave sintetizados, sin grabaciones.
Composición original, sintetizada desde cero. Ninguna muestra procede de terceros.
— English —
Composed with a root of 417 Hz in just intonation, kumoi mode.
To accompany a breathing practice.
Original composition, synthesized from scratch. No third-party samples.
Capítulos:
00:00 [completar tras el montaje]</t>
        </is>
      </c>
      <c r="E25" s="2" t="inlineStr">
        <is>
          <t>30 MIN</t>
        </is>
      </c>
      <c r="F25" s="2" t="inlineStr">
        <is>
          <t>#Respiración #MúsicaRelajante #417Hz</t>
        </is>
      </c>
      <c r="G25" s="3" t="inlineStr">
        <is>
          <t>417 hz, música 417 hz, música para meditar, meditation music, respiración, kumoi, música relajante, meditación, relajación, entonación justa, composición original, relaxing music, sleep music, singing bowls, just intonation</t>
        </is>
      </c>
      <c r="H25" s="4" t="inlineStr"/>
      <c r="I25" s="4" t="inlineStr"/>
      <c r="J25" s="2" t="n">
        <v>417</v>
      </c>
      <c r="K25" s="2" t="inlineStr">
        <is>
          <t>kumoi</t>
        </is>
      </c>
      <c r="L25" s="2" t="inlineStr">
        <is>
          <t>medio</t>
        </is>
      </c>
      <c r="M25" s="2" t="n">
        <v>250697</v>
      </c>
      <c r="N25" s="2" t="n">
        <v>30</v>
      </c>
      <c r="O25" s="3" t="inlineStr">
        <is>
          <t>python3 03-composicion/compositor.py --minutos 30 --raiz 417 --modo kumoi --semilla 250697</t>
        </is>
      </c>
      <c r="P25" s="4" t="inlineStr">
        <is>
          <t>pendiente</t>
        </is>
      </c>
      <c r="Q25" s="4" t="inlineStr"/>
      <c r="R25" s="4" t="inlineStr"/>
      <c r="S25" s="4" t="inlineStr"/>
      <c r="T25" s="5">
        <f>IFERROR(S25/R25*1000,"")</f>
        <v/>
      </c>
    </row>
    <row r="26" ht="58" customHeight="1">
      <c r="A26" s="2" t="inlineStr">
        <is>
          <t>OBRA-025</t>
        </is>
      </c>
      <c r="B26" s="3" t="inlineStr">
        <is>
          <t>Cuencos tibetanos · 528 Hz · Siete cuencos · 45 minutos</t>
        </is>
      </c>
      <c r="C26" s="2" t="inlineStr">
        <is>
          <t>Cuencos</t>
        </is>
      </c>
      <c r="D26" s="3" t="inlineStr">
        <is>
          <t>Siete cuencos · 45 minutos
Compuesta con raíz en 528 Hz, en entonación justa, modo hirajoshi.
Para acompañar una práctica de meditación.
Ciclo respiratorio: de 5.5 a 4.5 respiraciones por minuto, inhalar 40 % / exhalar 60 %.
Cuencos y canto de ave sintetizados, sin grabaciones.
Composición original, sintetizada desde cero. Ninguna muestra procede de terceros.
— English —
Composed with a root of 528 Hz in just intonation, hirajoshi mode.
To accompany a meditation practice.
Original composition, synthesized from scratch. No third-party samples.
Capítulos:
00:00 [completar tras el montaje]</t>
        </is>
      </c>
      <c r="E26" s="2" t="inlineStr">
        <is>
          <t>CUENCOS</t>
        </is>
      </c>
      <c r="F26" s="2" t="inlineStr">
        <is>
          <t>#CuencosTibetanos #MúsicaRelajante #528Hz</t>
        </is>
      </c>
      <c r="G26" s="3" t="inlineStr">
        <is>
          <t>528 hz, música 528 hz, cuencos tibetanos, singing bowls, cuencos, hirajoshi, música relajante, meditación, relajación, entonación justa, composición original, meditation music, relaxing music, sleep music, just intonation</t>
        </is>
      </c>
      <c r="H26" s="4" t="inlineStr"/>
      <c r="I26" s="4" t="inlineStr"/>
      <c r="J26" s="2" t="n">
        <v>528</v>
      </c>
      <c r="K26" s="2" t="inlineStr">
        <is>
          <t>hirajoshi</t>
        </is>
      </c>
      <c r="L26" s="2" t="inlineStr">
        <is>
          <t>medio</t>
        </is>
      </c>
      <c r="M26" s="2" t="n">
        <v>1186</v>
      </c>
      <c r="N26" s="2" t="n">
        <v>45</v>
      </c>
      <c r="O26" s="3" t="inlineStr">
        <is>
          <t>python3 03-composicion/compositor.py --minutos 45 --raiz 528 --modo hirajoshi --semilla 1186</t>
        </is>
      </c>
      <c r="P26" s="4" t="inlineStr">
        <is>
          <t>pendiente</t>
        </is>
      </c>
      <c r="Q26" s="4" t="inlineStr"/>
      <c r="R26" s="4" t="inlineStr"/>
      <c r="S26" s="4" t="inlineStr"/>
      <c r="T26" s="5">
        <f>IFERROR(S26/R26*1000,"")</f>
        <v/>
      </c>
    </row>
    <row r="27" ht="58" customHeight="1">
      <c r="A27" s="2" t="inlineStr">
        <is>
          <t>OBRA-026</t>
        </is>
      </c>
      <c r="B27" s="3" t="inlineStr">
        <is>
          <t>Cuencos tibetanos · 432 Hz · Metal y aire · 1 hora</t>
        </is>
      </c>
      <c r="C27" s="2" t="inlineStr">
        <is>
          <t>Cuencos</t>
        </is>
      </c>
      <c r="D27" s="3" t="inlineStr">
        <is>
          <t>Metal y aire · 1 hora
Compuesta con raíz en 432 Hz, en entonación justa, modo shin.
Para acompañar una práctica de meditación.
Ciclo respiratorio: de 5.5 a 4.5 respiraciones por minuto, inhalar 40 % / exhalar 60 %.
Cuencos y canto de ave sintetizados, sin grabaciones.
Composición original, sintetizada desde cero. Ninguna muestra procede de terceros.
— English —
Composed with a root of 432 Hz in just intonation, shin mode.
To accompany a meditation practice.
Original composition, synthesized from scratch. No third-party samples.
Capítulos:
00:00 [completar tras el montaje]</t>
        </is>
      </c>
      <c r="E27" s="2" t="inlineStr">
        <is>
          <t>CUENCOS</t>
        </is>
      </c>
      <c r="F27" s="2" t="inlineStr">
        <is>
          <t>#CuencosTibetanos #MúsicaRelajante #432Hz</t>
        </is>
      </c>
      <c r="G27" s="3" t="inlineStr">
        <is>
          <t>432 hz, música 432 hz, cuencos tibetanos, singing bowls, cuencos, shin, música relajante, meditación, relajación, entonación justa, composición original, meditation music, relaxing music, sleep music, just intonation</t>
        </is>
      </c>
      <c r="H27" s="4" t="inlineStr"/>
      <c r="I27" s="4" t="inlineStr"/>
      <c r="J27" s="2" t="n">
        <v>432</v>
      </c>
      <c r="K27" s="2" t="inlineStr">
        <is>
          <t>shin</t>
        </is>
      </c>
      <c r="L27" s="2" t="inlineStr">
        <is>
          <t>medio</t>
        </is>
      </c>
      <c r="M27" s="2" t="n">
        <v>627577</v>
      </c>
      <c r="N27" s="2" t="n">
        <v>60</v>
      </c>
      <c r="O27" s="3" t="inlineStr">
        <is>
          <t>python3 03-composicion/compositor.py --minutos 60 --raiz 432 --modo shin --semilla 627577</t>
        </is>
      </c>
      <c r="P27" s="4" t="inlineStr">
        <is>
          <t>pendiente</t>
        </is>
      </c>
      <c r="Q27" s="4" t="inlineStr"/>
      <c r="R27" s="4" t="inlineStr"/>
      <c r="S27" s="4" t="inlineStr"/>
      <c r="T27" s="5">
        <f>IFERROR(S27/R27*1000,"")</f>
        <v/>
      </c>
    </row>
    <row r="28" ht="58" customHeight="1">
      <c r="A28" s="2" t="inlineStr">
        <is>
          <t>OBRA-027</t>
        </is>
      </c>
      <c r="B28" s="3" t="inlineStr">
        <is>
          <t>Cuencos tibetanos · 528 Hz · Golpe y silencio · 30 minutos</t>
        </is>
      </c>
      <c r="C28" s="2" t="inlineStr">
        <is>
          <t>Cuencos</t>
        </is>
      </c>
      <c r="D28" s="3" t="inlineStr">
        <is>
          <t>Golpe y silencio · 30 minutos
Compuesta con raíz en 528 Hz, en entonación justa, modo shin.
Para acompañar una práctica de meditación.
Ciclo respiratorio: de 5.5 a 4.5 respiraciones por minuto, inhalar 40 % / exhalar 60 %.
Cuencos y canto de ave sintetizados, sin grabaciones.
Composición original, sintetizada desde cero. Ninguna muestra procede de terceros.
— English —
Composed with a root of 528 Hz in just intonation, shin mode.
To accompany a meditation practice.
Original composition, synthesized from scratch. No third-party samples.
Capítulos:
00:00 [completar tras el montaje]</t>
        </is>
      </c>
      <c r="E28" s="2" t="inlineStr">
        <is>
          <t>CUENCOS</t>
        </is>
      </c>
      <c r="F28" s="2" t="inlineStr">
        <is>
          <t>#CuencosTibetanos #MúsicaRelajante #528Hz</t>
        </is>
      </c>
      <c r="G28" s="3" t="inlineStr">
        <is>
          <t>528 hz, música 528 hz, cuencos tibetanos, singing bowls, cuencos, shin, música relajante, meditación, relajación, entonación justa, composición original, meditation music, relaxing music, sleep music, just intonation</t>
        </is>
      </c>
      <c r="H28" s="4" t="inlineStr"/>
      <c r="I28" s="4" t="inlineStr"/>
      <c r="J28" s="2" t="n">
        <v>528</v>
      </c>
      <c r="K28" s="2" t="inlineStr">
        <is>
          <t>shin</t>
        </is>
      </c>
      <c r="L28" s="2" t="inlineStr">
        <is>
          <t>medio</t>
        </is>
      </c>
      <c r="M28" s="2" t="n">
        <v>632595</v>
      </c>
      <c r="N28" s="2" t="n">
        <v>30</v>
      </c>
      <c r="O28" s="3" t="inlineStr">
        <is>
          <t>python3 03-composicion/compositor.py --minutos 30 --raiz 528 --modo shin --semilla 632595</t>
        </is>
      </c>
      <c r="P28" s="4" t="inlineStr">
        <is>
          <t>pendiente</t>
        </is>
      </c>
      <c r="Q28" s="4" t="inlineStr"/>
      <c r="R28" s="4" t="inlineStr"/>
      <c r="S28" s="4" t="inlineStr"/>
      <c r="T28" s="5">
        <f>IFERROR(S28/R28*1000,"")</f>
        <v/>
      </c>
    </row>
    <row r="29" ht="58" customHeight="1">
      <c r="A29" s="2" t="inlineStr">
        <is>
          <t>OBRA-028</t>
        </is>
      </c>
      <c r="B29" s="3" t="inlineStr">
        <is>
          <t>Cuencos tibetanos · 396 Hz · Cuenco de bronce · 45 minutos</t>
        </is>
      </c>
      <c r="C29" s="2" t="inlineStr">
        <is>
          <t>Cuencos</t>
        </is>
      </c>
      <c r="D29" s="3" t="inlineStr">
        <is>
          <t>Cuenco de bronce · 45 minutos
Compuesta con raíz en 396 Hz, en entonación justa, modo kumoi.
Para acompañar una práctica de meditación.
Ciclo respiratorio: de 5.5 a 4.5 respiraciones por minuto, inhalar 40 % / exhalar 60 %.
Cuencos y canto de ave sintetizados, sin grabaciones.
Composición original, sintetizada desde cero. Ninguna muestra procede de terceros.
— English —
Composed with a root of 396 Hz in just intonation, kumoi mode.
To accompany a meditation practice.
Original composition, synthesized from scratch. No third-party samples.
Capítulos:
00:00 [completar tras el montaje]</t>
        </is>
      </c>
      <c r="E29" s="2" t="inlineStr">
        <is>
          <t>CUENCOS</t>
        </is>
      </c>
      <c r="F29" s="2" t="inlineStr">
        <is>
          <t>#CuencosTibetanos #MúsicaRelajante #396Hz</t>
        </is>
      </c>
      <c r="G29" s="3" t="inlineStr">
        <is>
          <t>396 hz, música 396 hz, cuencos tibetanos, singing bowls, cuencos, kumoi, música relajante, meditación, relajación, entonación justa, composición original, meditation music, relaxing music, sleep music, just intonation</t>
        </is>
      </c>
      <c r="H29" s="4" t="inlineStr"/>
      <c r="I29" s="4" t="inlineStr"/>
      <c r="J29" s="2" t="n">
        <v>396</v>
      </c>
      <c r="K29" s="2" t="inlineStr">
        <is>
          <t>kumoi</t>
        </is>
      </c>
      <c r="L29" s="2" t="inlineStr">
        <is>
          <t>medio</t>
        </is>
      </c>
      <c r="M29" s="2" t="n">
        <v>894001</v>
      </c>
      <c r="N29" s="2" t="n">
        <v>45</v>
      </c>
      <c r="O29" s="3" t="inlineStr">
        <is>
          <t>python3 03-composicion/compositor.py --minutos 45 --raiz 396 --modo kumoi --semilla 894001</t>
        </is>
      </c>
      <c r="P29" s="4" t="inlineStr">
        <is>
          <t>pendiente</t>
        </is>
      </c>
      <c r="Q29" s="4" t="inlineStr"/>
      <c r="R29" s="4" t="inlineStr"/>
      <c r="S29" s="4" t="inlineStr"/>
      <c r="T29" s="5">
        <f>IFERROR(S29/R29*1000,"")</f>
        <v/>
      </c>
    </row>
    <row r="30" ht="58" customHeight="1">
      <c r="A30" s="2" t="inlineStr">
        <is>
          <t>OBRA-029</t>
        </is>
      </c>
      <c r="B30" s="3" t="inlineStr">
        <is>
          <t>Cuencos tibetanos · 639 Hz · Resonancia larga · 1 hora</t>
        </is>
      </c>
      <c r="C30" s="2" t="inlineStr">
        <is>
          <t>Cuencos</t>
        </is>
      </c>
      <c r="D30" s="3" t="inlineStr">
        <is>
          <t>Resonancia larga · 1 hora
Compuesta con raíz en 639 Hz, en entonación justa, modo yo.
Para acompañar una práctica de meditación.
Ciclo respiratorio: de 5.5 a 4.5 respiraciones por minuto, inhalar 40 % / exhalar 60 %.
Cuencos y canto de ave sintetizados, sin grabaciones.
Composición original, sintetizada desde cero. Ninguna muestra procede de terceros.
— English —
Composed with a root of 639 Hz in just intonation, yo mode.
To accompany a meditation practice.
Original composition, synthesized from scratch. No third-party samples.
Capítulos:
00:00 [completar tras el montaje]</t>
        </is>
      </c>
      <c r="E30" s="2" t="inlineStr">
        <is>
          <t>CUENCOS</t>
        </is>
      </c>
      <c r="F30" s="2" t="inlineStr">
        <is>
          <t>#CuencosTibetanos #MúsicaRelajante #639Hz</t>
        </is>
      </c>
      <c r="G30" s="3" t="inlineStr">
        <is>
          <t>639 hz, música 639 hz, cuencos tibetanos, singing bowls, cuencos, yo, música relajante, meditación, relajación, entonación justa, composición original, meditation music, relaxing music, sleep music, just intonation</t>
        </is>
      </c>
      <c r="H30" s="4" t="inlineStr"/>
      <c r="I30" s="4" t="inlineStr"/>
      <c r="J30" s="2" t="n">
        <v>639</v>
      </c>
      <c r="K30" s="2" t="inlineStr">
        <is>
          <t>yo</t>
        </is>
      </c>
      <c r="L30" s="2" t="inlineStr">
        <is>
          <t>medio</t>
        </is>
      </c>
      <c r="M30" s="2" t="n">
        <v>335798</v>
      </c>
      <c r="N30" s="2" t="n">
        <v>60</v>
      </c>
      <c r="O30" s="3" t="inlineStr">
        <is>
          <t>python3 03-composicion/compositor.py --minutos 60 --raiz 639 --modo yo --semilla 335798</t>
        </is>
      </c>
      <c r="P30" s="4" t="inlineStr">
        <is>
          <t>pendiente</t>
        </is>
      </c>
      <c r="Q30" s="4" t="inlineStr"/>
      <c r="R30" s="4" t="inlineStr"/>
      <c r="S30" s="4" t="inlineStr"/>
      <c r="T30" s="5">
        <f>IFERROR(S30/R30*1000,"")</f>
        <v/>
      </c>
    </row>
    <row r="31" ht="58" customHeight="1">
      <c r="A31" s="2" t="inlineStr">
        <is>
          <t>OBRA-030</t>
        </is>
      </c>
      <c r="B31" s="3" t="inlineStr">
        <is>
          <t>Cuencos tibetanos · 528 Hz · Uno solo · 20 minutos</t>
        </is>
      </c>
      <c r="C31" s="2" t="inlineStr">
        <is>
          <t>Cuencos</t>
        </is>
      </c>
      <c r="D31" s="3" t="inlineStr">
        <is>
          <t>Uno solo · 20 minutos
Compuesta con raíz en 528 Hz, en entonación justa, modo shin.
Para acompañar una práctica de meditación.
Ciclo respiratorio: de 5.5 a 4.5 respiraciones por minuto, inhalar 40 % / exhalar 60 %.
Cuencos y canto de ave sintetizados, sin grabaciones.
Composición original, sintetizada desde cero. Ninguna muestra procede de terceros.
— English —
Composed with a root of 528 Hz in just intonation, shin mode.
To accompany a meditation practice.
Original composition, synthesized from scratch. No third-party samples.
Capítulos:
00:00 [completar tras el montaje]</t>
        </is>
      </c>
      <c r="E31" s="2" t="inlineStr">
        <is>
          <t>CUENCOS</t>
        </is>
      </c>
      <c r="F31" s="2" t="inlineStr">
        <is>
          <t>#CuencosTibetanos #MúsicaRelajante #528Hz</t>
        </is>
      </c>
      <c r="G31" s="3" t="inlineStr">
        <is>
          <t>528 hz, música 528 hz, cuencos tibetanos, singing bowls, cuencos, shin, música relajante, meditación, relajación, entonación justa, composición original, meditation music, relaxing music, sleep music, just intonation</t>
        </is>
      </c>
      <c r="H31" s="4" t="inlineStr"/>
      <c r="I31" s="4" t="inlineStr"/>
      <c r="J31" s="2" t="n">
        <v>528</v>
      </c>
      <c r="K31" s="2" t="inlineStr">
        <is>
          <t>shin</t>
        </is>
      </c>
      <c r="L31" s="2" t="inlineStr">
        <is>
          <t>medio</t>
        </is>
      </c>
      <c r="M31" s="2" t="n">
        <v>299306</v>
      </c>
      <c r="N31" s="2" t="n">
        <v>20</v>
      </c>
      <c r="O31" s="3" t="inlineStr">
        <is>
          <t>python3 03-composicion/compositor.py --minutos 20 --raiz 528 --modo shin --semilla 299306</t>
        </is>
      </c>
      <c r="P31" s="4" t="inlineStr">
        <is>
          <t>pendiente</t>
        </is>
      </c>
      <c r="Q31" s="4" t="inlineStr"/>
      <c r="R31" s="4" t="inlineStr"/>
      <c r="S31" s="4" t="inlineStr"/>
      <c r="T31" s="5">
        <f>IFERROR(S31/R31*1000,"")</f>
        <v/>
      </c>
    </row>
    <row r="32" ht="58" customHeight="1">
      <c r="A32" s="2" t="inlineStr">
        <is>
          <t>OBRA-031</t>
        </is>
      </c>
      <c r="B32" s="3" t="inlineStr">
        <is>
          <t>Cuencos tibetanos · 417 Hz · Templo vacío · 45 minutos</t>
        </is>
      </c>
      <c r="C32" s="2" t="inlineStr">
        <is>
          <t>Cuencos</t>
        </is>
      </c>
      <c r="D32" s="3" t="inlineStr">
        <is>
          <t>Templo vacío · 45 minutos
Compuesta con raíz en 417 Hz, en entonación justa, modo hirajoshi.
Para acompañar una práctica de meditación.
Ciclo respiratorio: de 5.5 a 4.5 respiraciones por minuto, inhalar 40 % / exhalar 60 %.
Cuencos y canto de ave sintetizados, sin grabaciones.
Composición original, sintetizada desde cero. Ninguna muestra procede de terceros.
— English —
Composed with a root of 417 Hz in just intonation, hirajoshi mode.
To accompany a meditation practice.
Original composition, synthesized from scratch. No third-party samples.
Capítulos:
00:00 [completar tras el montaje]</t>
        </is>
      </c>
      <c r="E32" s="2" t="inlineStr">
        <is>
          <t>CUENCOS</t>
        </is>
      </c>
      <c r="F32" s="2" t="inlineStr">
        <is>
          <t>#CuencosTibetanos #MúsicaRelajante #417Hz</t>
        </is>
      </c>
      <c r="G32" s="3" t="inlineStr">
        <is>
          <t>417 hz, música 417 hz, cuencos tibetanos, singing bowls, cuencos, hirajoshi, música relajante, meditación, relajación, entonación justa, composición original, meditation music, relaxing music, sleep music, just intonation</t>
        </is>
      </c>
      <c r="H32" s="4" t="inlineStr"/>
      <c r="I32" s="4" t="inlineStr"/>
      <c r="J32" s="2" t="n">
        <v>417</v>
      </c>
      <c r="K32" s="2" t="inlineStr">
        <is>
          <t>hirajoshi</t>
        </is>
      </c>
      <c r="L32" s="2" t="inlineStr">
        <is>
          <t>medio</t>
        </is>
      </c>
      <c r="M32" s="2" t="n">
        <v>714152</v>
      </c>
      <c r="N32" s="2" t="n">
        <v>45</v>
      </c>
      <c r="O32" s="3" t="inlineStr">
        <is>
          <t>python3 03-composicion/compositor.py --minutos 45 --raiz 417 --modo hirajoshi --semilla 714152</t>
        </is>
      </c>
      <c r="P32" s="4" t="inlineStr">
        <is>
          <t>pendiente</t>
        </is>
      </c>
      <c r="Q32" s="4" t="inlineStr"/>
      <c r="R32" s="4" t="inlineStr"/>
      <c r="S32" s="4" t="inlineStr"/>
      <c r="T32" s="5">
        <f>IFERROR(S32/R32*1000,"")</f>
        <v/>
      </c>
    </row>
    <row r="33" ht="58" customHeight="1">
      <c r="A33" s="2" t="inlineStr">
        <is>
          <t>OBRA-032</t>
        </is>
      </c>
      <c r="B33" s="3" t="inlineStr">
        <is>
          <t>Cuencos tibetanos · 432 Hz · Lo que queda del sonido · 1 hora</t>
        </is>
      </c>
      <c r="C33" s="2" t="inlineStr">
        <is>
          <t>Cuencos</t>
        </is>
      </c>
      <c r="D33" s="3" t="inlineStr">
        <is>
          <t>Lo que queda del sonido · 1 hora
Compuesta con raíz en 432 Hz, en entonación justa, modo kumoi.
Para acompañar una práctica de meditación.
Ciclo respiratorio: de 5.5 a 4.5 respiraciones por minuto, inhalar 40 % / exhalar 60 %.
Cuencos y canto de ave sintetizados, sin grabaciones.
Composición original, sintetizada desde cero. Ninguna muestra procede de terceros.
— English —
Composed with a root of 432 Hz in just intonation, kumoi mode.
To accompany a meditation practice.
Original composition, synthesized from scratch. No third-party samples.
Capítulos:
00:00 [completar tras el montaje]</t>
        </is>
      </c>
      <c r="E33" s="2" t="inlineStr">
        <is>
          <t>CUENCOS</t>
        </is>
      </c>
      <c r="F33" s="2" t="inlineStr">
        <is>
          <t>#CuencosTibetanos #MúsicaRelajante #432Hz</t>
        </is>
      </c>
      <c r="G33" s="3" t="inlineStr">
        <is>
          <t>432 hz, música 432 hz, cuencos tibetanos, singing bowls, cuencos, kumoi, música relajante, meditación, relajación, entonación justa, composición original, meditation music, relaxing music, sleep music, just intonation</t>
        </is>
      </c>
      <c r="H33" s="4" t="inlineStr"/>
      <c r="I33" s="4" t="inlineStr"/>
      <c r="J33" s="2" t="n">
        <v>432</v>
      </c>
      <c r="K33" s="2" t="inlineStr">
        <is>
          <t>kumoi</t>
        </is>
      </c>
      <c r="L33" s="2" t="inlineStr">
        <is>
          <t>medio</t>
        </is>
      </c>
      <c r="M33" s="2" t="n">
        <v>926202</v>
      </c>
      <c r="N33" s="2" t="n">
        <v>60</v>
      </c>
      <c r="O33" s="3" t="inlineStr">
        <is>
          <t>python3 03-composicion/compositor.py --minutos 60 --raiz 432 --modo kumoi --semilla 926202</t>
        </is>
      </c>
      <c r="P33" s="4" t="inlineStr">
        <is>
          <t>pendiente</t>
        </is>
      </c>
      <c r="Q33" s="4" t="inlineStr"/>
      <c r="R33" s="4" t="inlineStr"/>
      <c r="S33" s="4" t="inlineStr"/>
      <c r="T33" s="5">
        <f>IFERROR(S33/R33*1000,"")</f>
        <v/>
      </c>
    </row>
    <row r="34" ht="58" customHeight="1">
      <c r="A34" s="2" t="inlineStr">
        <is>
          <t>OBRA-033</t>
        </is>
      </c>
      <c r="B34" s="3" t="inlineStr">
        <is>
          <t>Música para concentrarse · 639 Hz · Mesa limpia · 2 horas</t>
        </is>
      </c>
      <c r="C34" s="2" t="inlineStr">
        <is>
          <t>Foco</t>
        </is>
      </c>
      <c r="D34" s="3" t="inlineStr">
        <is>
          <t>Mesa limpia · 2 horas
Compuesta con raíz en 319.5 Hz, la octava grave de 639 Hz, en entonación justa, modo yo.
Para acompañar el trabajo o el estudio.
Ciclo respiratorio: de 6.0 a 5.5 respiraciones por minuto, inhalar 40 % / exhalar 60 %.
Cuencos y canto de ave sintetizados, sin grabaciones.
Composición original, sintetizada desde cero. Ninguna muestra procede de terceros.
— English —
Composed with a root of 639 Hz in just intonation, yo mode.
To accompany work or study.
Original composition, synthesized from scratch. No third-party samples.
Capítulos:
00:00 [completar tras el montaje]</t>
        </is>
      </c>
      <c r="E34" s="2" t="inlineStr">
        <is>
          <t>2 HORAS</t>
        </is>
      </c>
      <c r="F34" s="2" t="inlineStr">
        <is>
          <t>#Concentración #MúsicaRelajante #639Hz</t>
        </is>
      </c>
      <c r="G34" s="3" t="inlineStr">
        <is>
          <t>639 hz, música 639 hz, música para concentrarse, focus music, foco, yo, música relajante, meditación, relajación, entonación justa, composición original, meditation music, relaxing music, sleep music, singing bowls, just intonation</t>
        </is>
      </c>
      <c r="H34" s="4" t="inlineStr"/>
      <c r="I34" s="4" t="inlineStr"/>
      <c r="J34" s="2" t="n">
        <v>639</v>
      </c>
      <c r="K34" s="2" t="inlineStr">
        <is>
          <t>yo</t>
        </is>
      </c>
      <c r="L34" s="2" t="inlineStr">
        <is>
          <t>grave</t>
        </is>
      </c>
      <c r="M34" s="2" t="n">
        <v>112334</v>
      </c>
      <c r="N34" s="2" t="n">
        <v>120</v>
      </c>
      <c r="O34" s="3" t="inlineStr">
        <is>
          <t>python3 03-composicion/compositor.py --minutos 120 --raiz 639 --modo yo --semilla 112334 --registro grave</t>
        </is>
      </c>
      <c r="P34" s="4" t="inlineStr">
        <is>
          <t>pendiente</t>
        </is>
      </c>
      <c r="Q34" s="4" t="inlineStr"/>
      <c r="R34" s="4" t="inlineStr"/>
      <c r="S34" s="4" t="inlineStr"/>
      <c r="T34" s="5">
        <f>IFERROR(S34/R34*1000,"")</f>
        <v/>
      </c>
    </row>
    <row r="35" ht="58" customHeight="1">
      <c r="A35" s="2" t="inlineStr">
        <is>
          <t>OBRA-034</t>
        </is>
      </c>
      <c r="B35" s="3" t="inlineStr">
        <is>
          <t>Música para concentrarse · 528 Hz · Tres horas · 3 horas</t>
        </is>
      </c>
      <c r="C35" s="2" t="inlineStr">
        <is>
          <t>Foco</t>
        </is>
      </c>
      <c r="D35" s="3" t="inlineStr">
        <is>
          <t>Tres horas · 3 horas
Compuesta con raíz en 264 Hz, la octava grave de 528 Hz, en entonación justa, modo yo.
Para acompañar el trabajo o el estudio.
Ciclo respiratorio: de 6.0 a 5.5 respiraciones por minuto, inhalar 40 % / exhalar 60 %.
Cuencos y canto de ave sintetizados, sin grabaciones.
Composición original, sintetizada desde cero. Ninguna muestra procede de terceros.
— English —
Composed with a root of 528 Hz in just intonation, yo mode.
To accompany work or study.
Original composition, synthesized from scratch. No third-party samples.
Capítulos:
00:00 [completar tras el montaje]</t>
        </is>
      </c>
      <c r="E35" s="2" t="inlineStr">
        <is>
          <t>3 HORAS</t>
        </is>
      </c>
      <c r="F35" s="2" t="inlineStr">
        <is>
          <t>#Concentración #MúsicaRelajante #528Hz</t>
        </is>
      </c>
      <c r="G35" s="3" t="inlineStr">
        <is>
          <t>528 hz, música 528 hz, música para concentrarse, focus music, foco, yo, música relajante, meditación, relajación, entonación justa, composición original, meditation music, relaxing music, sleep music, singing bowls, just intonation</t>
        </is>
      </c>
      <c r="H35" s="4" t="inlineStr"/>
      <c r="I35" s="4" t="inlineStr"/>
      <c r="J35" s="2" t="n">
        <v>528</v>
      </c>
      <c r="K35" s="2" t="inlineStr">
        <is>
          <t>yo</t>
        </is>
      </c>
      <c r="L35" s="2" t="inlineStr">
        <is>
          <t>grave</t>
        </is>
      </c>
      <c r="M35" s="2" t="n">
        <v>935486</v>
      </c>
      <c r="N35" s="2" t="n">
        <v>180</v>
      </c>
      <c r="O35" s="3" t="inlineStr">
        <is>
          <t>python3 03-composicion/compositor.py --minutos 180 --raiz 528 --modo yo --semilla 935486 --registro grave</t>
        </is>
      </c>
      <c r="P35" s="4" t="inlineStr">
        <is>
          <t>pendiente</t>
        </is>
      </c>
      <c r="Q35" s="4" t="inlineStr"/>
      <c r="R35" s="4" t="inlineStr"/>
      <c r="S35" s="4" t="inlineStr"/>
      <c r="T35" s="5">
        <f>IFERROR(S35/R35*1000,"")</f>
        <v/>
      </c>
    </row>
    <row r="36" ht="58" customHeight="1">
      <c r="A36" s="2" t="inlineStr">
        <is>
          <t>OBRA-035</t>
        </is>
      </c>
      <c r="B36" s="3" t="inlineStr">
        <is>
          <t>Música para concentrarse · 741 Hz · Sin interrupciones · 2 horas</t>
        </is>
      </c>
      <c r="C36" s="2" t="inlineStr">
        <is>
          <t>Foco</t>
        </is>
      </c>
      <c r="D36" s="3" t="inlineStr">
        <is>
          <t>Sin interrupciones · 2 horas
Compuesta con raíz en 370.5 Hz, la octava grave de 741 Hz, en entonación justa, modo yo.
Para acompañar el trabajo o el estudio.
Ciclo respiratorio: de 6.0 a 5.5 respiraciones por minuto, inhalar 40 % / exhalar 60 %.
Cuencos y canto de ave sintetizados, sin grabaciones.
Composición original, sintetizada desde cero. Ninguna muestra procede de terceros.
— English —
Composed with a root of 741 Hz in just intonation, yo mode.
To accompany work or study.
Original composition, synthesized from scratch. No third-party samples.
Capítulos:
00:00 [completar tras el montaje]</t>
        </is>
      </c>
      <c r="E36" s="2" t="inlineStr">
        <is>
          <t>2 HORAS</t>
        </is>
      </c>
      <c r="F36" s="2" t="inlineStr">
        <is>
          <t>#Concentración #MúsicaRelajante #741Hz</t>
        </is>
      </c>
      <c r="G36" s="3" t="inlineStr">
        <is>
          <t>741 hz, música 741 hz, música para concentrarse, focus music, foco, yo, música relajante, meditación, relajación, entonación justa, composición original, meditation music, relaxing music, sleep music, singing bowls, just intonation</t>
        </is>
      </c>
      <c r="H36" s="4" t="inlineStr"/>
      <c r="I36" s="4" t="inlineStr"/>
      <c r="J36" s="2" t="n">
        <v>741</v>
      </c>
      <c r="K36" s="2" t="inlineStr">
        <is>
          <t>yo</t>
        </is>
      </c>
      <c r="L36" s="2" t="inlineStr">
        <is>
          <t>grave</t>
        </is>
      </c>
      <c r="M36" s="2" t="n">
        <v>74636</v>
      </c>
      <c r="N36" s="2" t="n">
        <v>120</v>
      </c>
      <c r="O36" s="3" t="inlineStr">
        <is>
          <t>python3 03-composicion/compositor.py --minutos 120 --raiz 741 --modo yo --semilla 74636 --registro grave</t>
        </is>
      </c>
      <c r="P36" s="4" t="inlineStr">
        <is>
          <t>pendiente</t>
        </is>
      </c>
      <c r="Q36" s="4" t="inlineStr"/>
      <c r="R36" s="4" t="inlineStr"/>
      <c r="S36" s="4" t="inlineStr"/>
      <c r="T36" s="5">
        <f>IFERROR(S36/R36*1000,"")</f>
        <v/>
      </c>
    </row>
    <row r="37" ht="58" customHeight="1">
      <c r="A37" s="2" t="inlineStr">
        <is>
          <t>OBRA-036</t>
        </is>
      </c>
      <c r="B37" s="3" t="inlineStr">
        <is>
          <t>Música para concentrarse · 852 Hz · Luz de mañana · 90 minutos</t>
        </is>
      </c>
      <c r="C37" s="2" t="inlineStr">
        <is>
          <t>Foco</t>
        </is>
      </c>
      <c r="D37" s="3" t="inlineStr">
        <is>
          <t>Luz de mañana · 90 minutos
Compuesta con raíz en 426 Hz, la octava grave de 852 Hz, en entonación justa, modo yo.
Para acompañar el trabajo o el estudio.
Ciclo respiratorio: de 6.0 a 5.5 respiraciones por minuto, inhalar 40 % / exhalar 60 %.
Cuencos y canto de ave sintetizados, sin grabaciones.
Composición original, sintetizada desde cero. Ninguna muestra procede de terceros.
— English —
Composed with a root of 852 Hz in just intonation, yo mode.
To accompany work or study.
Original composition, synthesized from scratch. No third-party samples.
Capítulos:
00:00 [completar tras el montaje]</t>
        </is>
      </c>
      <c r="E37" s="2" t="inlineStr">
        <is>
          <t>90 MIN</t>
        </is>
      </c>
      <c r="F37" s="2" t="inlineStr">
        <is>
          <t>#Concentración #MúsicaRelajante #852Hz</t>
        </is>
      </c>
      <c r="G37" s="3" t="inlineStr">
        <is>
          <t>852 hz, música 852 hz, música para concentrarse, focus music, foco, yo, música relajante, meditación, relajación, entonación justa, composición original, meditation music, relaxing music, sleep music, singing bowls, just intonation</t>
        </is>
      </c>
      <c r="H37" s="4" t="inlineStr"/>
      <c r="I37" s="4" t="inlineStr"/>
      <c r="J37" s="2" t="n">
        <v>852</v>
      </c>
      <c r="K37" s="2" t="inlineStr">
        <is>
          <t>yo</t>
        </is>
      </c>
      <c r="L37" s="2" t="inlineStr">
        <is>
          <t>grave</t>
        </is>
      </c>
      <c r="M37" s="2" t="n">
        <v>903477</v>
      </c>
      <c r="N37" s="2" t="n">
        <v>90</v>
      </c>
      <c r="O37" s="3" t="inlineStr">
        <is>
          <t>python3 03-composicion/compositor.py --minutos 90 --raiz 852 --modo yo --semilla 903477 --registro grave</t>
        </is>
      </c>
      <c r="P37" s="4" t="inlineStr">
        <is>
          <t>pendiente</t>
        </is>
      </c>
      <c r="Q37" s="4" t="inlineStr"/>
      <c r="R37" s="4" t="inlineStr"/>
      <c r="S37" s="4" t="inlineStr"/>
      <c r="T37" s="5">
        <f>IFERROR(S37/R37*1000,"")</f>
        <v/>
      </c>
    </row>
    <row r="38" ht="58" customHeight="1">
      <c r="A38" s="2" t="inlineStr">
        <is>
          <t>OBRA-037</t>
        </is>
      </c>
      <c r="B38" s="3" t="inlineStr">
        <is>
          <t>Música para concentrarse · 432 Hz · Trabajo lento · 2 horas</t>
        </is>
      </c>
      <c r="C38" s="2" t="inlineStr">
        <is>
          <t>Foco</t>
        </is>
      </c>
      <c r="D38" s="3" t="inlineStr">
        <is>
          <t>Trabajo lento · 2 horas
Compuesta con raíz en 216 Hz, la octava grave de 432 Hz, en entonación justa, modo yo.
Para acompañar el trabajo o el estudio.
Ciclo respiratorio: de 6.0 a 5.5 respiraciones por minuto, inhalar 40 % / exhalar 60 %.
Cuencos y canto de ave sintetizados, sin grabaciones.
Composición original, sintetizada desde cero. Ninguna muestra procede de terceros.
— English —
Composed with a root of 432 Hz in just intonation, yo mode.
To accompany work or study.
Original composition, synthesized from scratch. No third-party samples.
Capítulos:
00:00 [completar tras el montaje]</t>
        </is>
      </c>
      <c r="E38" s="2" t="inlineStr">
        <is>
          <t>2 HORAS</t>
        </is>
      </c>
      <c r="F38" s="2" t="inlineStr">
        <is>
          <t>#Concentración #MúsicaRelajante #432Hz</t>
        </is>
      </c>
      <c r="G38" s="3" t="inlineStr">
        <is>
          <t>432 hz, música 432 hz, música para concentrarse, focus music, foco, yo, música relajante, meditación, relajación, entonación justa, composición original, meditation music, relaxing music, sleep music, singing bowls, just intonation</t>
        </is>
      </c>
      <c r="H38" s="4" t="inlineStr"/>
      <c r="I38" s="4" t="inlineStr"/>
      <c r="J38" s="2" t="n">
        <v>432</v>
      </c>
      <c r="K38" s="2" t="inlineStr">
        <is>
          <t>yo</t>
        </is>
      </c>
      <c r="L38" s="2" t="inlineStr">
        <is>
          <t>grave</t>
        </is>
      </c>
      <c r="M38" s="2" t="n">
        <v>718809</v>
      </c>
      <c r="N38" s="2" t="n">
        <v>120</v>
      </c>
      <c r="O38" s="3" t="inlineStr">
        <is>
          <t>python3 03-composicion/compositor.py --minutos 120 --raiz 432 --modo yo --semilla 718809 --registro grave</t>
        </is>
      </c>
      <c r="P38" s="4" t="inlineStr">
        <is>
          <t>pendiente</t>
        </is>
      </c>
      <c r="Q38" s="4" t="inlineStr"/>
      <c r="R38" s="4" t="inlineStr"/>
      <c r="S38" s="4" t="inlineStr"/>
      <c r="T38" s="5">
        <f>IFERROR(S38/R38*1000,"")</f>
        <v/>
      </c>
    </row>
    <row r="39" ht="58" customHeight="1">
      <c r="A39" s="2" t="inlineStr">
        <is>
          <t>OBRA-038</t>
        </is>
      </c>
      <c r="B39" s="3" t="inlineStr">
        <is>
          <t>Música para concentrarse · 528 Hz · Una sola cosa · 2 horas</t>
        </is>
      </c>
      <c r="C39" s="2" t="inlineStr">
        <is>
          <t>Foco</t>
        </is>
      </c>
      <c r="D39" s="3" t="inlineStr">
        <is>
          <t>Una sola cosa · 2 horas
Compuesta con raíz en 264 Hz, la octava grave de 528 Hz, en entonación justa, modo shin.
Para acompañar el trabajo o el estudio.
Ciclo respiratorio: de 6.0 a 5.5 respiraciones por minuto, inhalar 40 % / exhalar 60 %.
Cuencos y canto de ave sintetizados, sin grabaciones.
Composición original, sintetizada desde cero. Ninguna muestra procede de terceros.
— English —
Composed with a root of 528 Hz in just intonation, shin mode.
To accompany work or study.
Original composition, synthesized from scratch. No third-party samples.
Capítulos:
00:00 [completar tras el montaje]</t>
        </is>
      </c>
      <c r="E39" s="2" t="inlineStr">
        <is>
          <t>2 HORAS</t>
        </is>
      </c>
      <c r="F39" s="2" t="inlineStr">
        <is>
          <t>#Concentración #MúsicaRelajante #528Hz</t>
        </is>
      </c>
      <c r="G39" s="3" t="inlineStr">
        <is>
          <t>528 hz, música 528 hz, música para concentrarse, focus music, foco, shin, música relajante, meditación, relajación, entonación justa, composición original, meditation music, relaxing music, sleep music, singing bowls, just intonation</t>
        </is>
      </c>
      <c r="H39" s="4" t="inlineStr"/>
      <c r="I39" s="4" t="inlineStr"/>
      <c r="J39" s="2" t="n">
        <v>528</v>
      </c>
      <c r="K39" s="2" t="inlineStr">
        <is>
          <t>shin</t>
        </is>
      </c>
      <c r="L39" s="2" t="inlineStr">
        <is>
          <t>grave</t>
        </is>
      </c>
      <c r="M39" s="2" t="n">
        <v>203246</v>
      </c>
      <c r="N39" s="2" t="n">
        <v>120</v>
      </c>
      <c r="O39" s="3" t="inlineStr">
        <is>
          <t>python3 03-composicion/compositor.py --minutos 120 --raiz 528 --modo shin --semilla 203246 --registro grave</t>
        </is>
      </c>
      <c r="P39" s="4" t="inlineStr">
        <is>
          <t>pendiente</t>
        </is>
      </c>
      <c r="Q39" s="4" t="inlineStr"/>
      <c r="R39" s="4" t="inlineStr"/>
      <c r="S39" s="4" t="inlineStr"/>
      <c r="T39" s="5">
        <f>IFERROR(S39/R39*1000,"")</f>
        <v/>
      </c>
    </row>
    <row r="40" ht="58" customHeight="1">
      <c r="A40" s="2" t="inlineStr">
        <is>
          <t>OBRA-039</t>
        </is>
      </c>
      <c r="B40" s="3" t="inlineStr">
        <is>
          <t>Música para concentrarse · 639 Hz · Ventana abierta · 90 minutos</t>
        </is>
      </c>
      <c r="C40" s="2" t="inlineStr">
        <is>
          <t>Foco</t>
        </is>
      </c>
      <c r="D40" s="3" t="inlineStr">
        <is>
          <t>Ventana abierta · 90 minutos
Compuesta con raíz en 319.5 Hz, la octava grave de 639 Hz, en entonación justa, modo yo.
Para acompañar el trabajo o el estudio.
Ciclo respiratorio: de 6.0 a 5.5 respiraciones por minuto, inhalar 40 % / exhalar 60 %.
Cuencos y canto de ave sintetizados, sin grabaciones.
Composición original, sintetizada desde cero. Ninguna muestra procede de terceros.
— English —
Composed with a root of 639 Hz in just intonation, yo mode.
To accompany work or study.
Original composition, synthesized from scratch. No third-party samples.
Capítulos:
00:00 [completar tras el montaje]</t>
        </is>
      </c>
      <c r="E40" s="2" t="inlineStr">
        <is>
          <t>90 MIN</t>
        </is>
      </c>
      <c r="F40" s="2" t="inlineStr">
        <is>
          <t>#Concentración #MúsicaRelajante #639Hz</t>
        </is>
      </c>
      <c r="G40" s="3" t="inlineStr">
        <is>
          <t>639 hz, música 639 hz, música para concentrarse, focus music, foco, yo, música relajante, meditación, relajación, entonación justa, composición original, meditation music, relaxing music, sleep music, singing bowls, just intonation</t>
        </is>
      </c>
      <c r="H40" s="4" t="inlineStr"/>
      <c r="I40" s="4" t="inlineStr"/>
      <c r="J40" s="2" t="n">
        <v>639</v>
      </c>
      <c r="K40" s="2" t="inlineStr">
        <is>
          <t>yo</t>
        </is>
      </c>
      <c r="L40" s="2" t="inlineStr">
        <is>
          <t>grave</t>
        </is>
      </c>
      <c r="M40" s="2" t="n">
        <v>281608</v>
      </c>
      <c r="N40" s="2" t="n">
        <v>90</v>
      </c>
      <c r="O40" s="3" t="inlineStr">
        <is>
          <t>python3 03-composicion/compositor.py --minutos 90 --raiz 639 --modo yo --semilla 281608 --registro grave</t>
        </is>
      </c>
      <c r="P40" s="4" t="inlineStr">
        <is>
          <t>pendiente</t>
        </is>
      </c>
      <c r="Q40" s="4" t="inlineStr"/>
      <c r="R40" s="4" t="inlineStr"/>
      <c r="S40" s="4" t="inlineStr"/>
      <c r="T40" s="5">
        <f>IFERROR(S40/R40*1000,"")</f>
        <v/>
      </c>
    </row>
    <row r="41" ht="58" customHeight="1">
      <c r="A41" s="2" t="inlineStr">
        <is>
          <t>OBRA-040</t>
        </is>
      </c>
      <c r="B41" s="3" t="inlineStr">
        <is>
          <t>Música para concentrarse · 741 Hz · Hasta terminar · 3 horas</t>
        </is>
      </c>
      <c r="C41" s="2" t="inlineStr">
        <is>
          <t>Foco</t>
        </is>
      </c>
      <c r="D41" s="3" t="inlineStr">
        <is>
          <t>Hasta terminar · 3 horas
Compuesta con raíz en 370.5 Hz, la octava grave de 741 Hz, en entonación justa, modo yo.
Para acompañar el trabajo o el estudio.
Ciclo respiratorio: de 6.0 a 5.5 respiraciones por minuto, inhalar 40 % / exhalar 60 %.
Cuencos y canto de ave sintetizados, sin grabaciones.
Composición original, sintetizada desde cero. Ninguna muestra procede de terceros.
— English —
Composed with a root of 741 Hz in just intonation, yo mode.
To accompany work or study.
Original composition, synthesized from scratch. No third-party samples.
Capítulos:
00:00 [completar tras el montaje]</t>
        </is>
      </c>
      <c r="E41" s="2" t="inlineStr">
        <is>
          <t>3 HORAS</t>
        </is>
      </c>
      <c r="F41" s="2" t="inlineStr">
        <is>
          <t>#Concentración #MúsicaRelajante #741Hz</t>
        </is>
      </c>
      <c r="G41" s="3" t="inlineStr">
        <is>
          <t>741 hz, música 741 hz, música para concentrarse, focus music, foco, yo, música relajante, meditación, relajación, entonación justa, composición original, meditation music, relaxing music, sleep music, singing bowls, just intonation</t>
        </is>
      </c>
      <c r="H41" s="4" t="inlineStr"/>
      <c r="I41" s="4" t="inlineStr"/>
      <c r="J41" s="2" t="n">
        <v>741</v>
      </c>
      <c r="K41" s="2" t="inlineStr">
        <is>
          <t>yo</t>
        </is>
      </c>
      <c r="L41" s="2" t="inlineStr">
        <is>
          <t>grave</t>
        </is>
      </c>
      <c r="M41" s="2" t="n">
        <v>883876</v>
      </c>
      <c r="N41" s="2" t="n">
        <v>180</v>
      </c>
      <c r="O41" s="3" t="inlineStr">
        <is>
          <t>python3 03-composicion/compositor.py --minutos 180 --raiz 741 --modo yo --semilla 883876 --registro grave</t>
        </is>
      </c>
      <c r="P41" s="4" t="inlineStr">
        <is>
          <t>pendiente</t>
        </is>
      </c>
      <c r="Q41" s="4" t="inlineStr"/>
      <c r="R41" s="4" t="inlineStr"/>
      <c r="S41" s="4" t="inlineStr"/>
      <c r="T41" s="5">
        <f>IFERROR(S41/R41*1000,"")</f>
        <v/>
      </c>
    </row>
  </sheetData>
  <autoFilter ref="A1:T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6" t="inlineStr">
        <is>
          <t>Estado del catálogo</t>
        </is>
      </c>
    </row>
    <row r="2">
      <c r="A2" s="7" t="inlineStr">
        <is>
          <t>Total de obras</t>
        </is>
      </c>
      <c r="B2" s="7">
        <f>COUNTA(Catálogo!A2:A41)</f>
        <v/>
      </c>
    </row>
    <row r="3">
      <c r="A3" s="7" t="inlineStr">
        <is>
          <t>Pendientes</t>
        </is>
      </c>
      <c r="B3" s="7">
        <f>COUNTIF(Catálogo!P2:P41,"pendiente")</f>
        <v/>
      </c>
    </row>
    <row r="4">
      <c r="A4" s="7" t="inlineStr">
        <is>
          <t>Compuestas</t>
        </is>
      </c>
      <c r="B4" s="7">
        <f>COUNTIF(Catálogo!P2:P41,"compuesta")</f>
        <v/>
      </c>
    </row>
    <row r="5">
      <c r="A5" s="7" t="inlineStr">
        <is>
          <t>Montadas</t>
        </is>
      </c>
      <c r="B5" s="7">
        <f>COUNTIF(Catálogo!P2:P41,"montada")</f>
        <v/>
      </c>
    </row>
    <row r="6">
      <c r="A6" s="7" t="inlineStr">
        <is>
          <t>Publicadas</t>
        </is>
      </c>
      <c r="B6" s="7">
        <f>COUNTIF(Catálogo!P2:P41,"publicada")</f>
        <v/>
      </c>
    </row>
    <row r="8">
      <c r="A8" s="6" t="inlineStr">
        <is>
          <t>Por pilar</t>
        </is>
      </c>
    </row>
    <row r="9">
      <c r="A9" s="8" t="inlineStr">
        <is>
          <t>Pilar</t>
        </is>
      </c>
      <c r="B9" s="8" t="inlineStr">
        <is>
          <t>Obras</t>
        </is>
      </c>
      <c r="C9" s="8" t="inlineStr">
        <is>
          <t>Publicadas</t>
        </is>
      </c>
      <c r="D9" s="8" t="inlineStr">
        <is>
          <t>Minutos totales</t>
        </is>
      </c>
    </row>
    <row r="10">
      <c r="A10" s="7" t="inlineStr">
        <is>
          <t>Frecuencias</t>
        </is>
      </c>
      <c r="B10" s="7">
        <f>COUNTIF(Catálogo!C2:C41,A10)</f>
        <v/>
      </c>
      <c r="C10" s="7">
        <f>COUNTIFS(Catálogo!C2:C41,A10,Catálogo!P2:P41,"publicada")</f>
        <v/>
      </c>
      <c r="D10" s="7">
        <f>SUMIF(Catálogo!C2:C41,A10,Catálogo!N2:N41)</f>
        <v/>
      </c>
    </row>
    <row r="11">
      <c r="A11" s="7" t="inlineStr">
        <is>
          <t>Sueño</t>
        </is>
      </c>
      <c r="B11" s="7">
        <f>COUNTIF(Catálogo!C2:C41,A11)</f>
        <v/>
      </c>
      <c r="C11" s="7">
        <f>COUNTIFS(Catálogo!C2:C41,A11,Catálogo!P2:P41,"publicada")</f>
        <v/>
      </c>
      <c r="D11" s="7">
        <f>SUMIF(Catálogo!C2:C41,A11,Catálogo!N2:N41)</f>
        <v/>
      </c>
    </row>
    <row r="12">
      <c r="A12" s="7" t="inlineStr">
        <is>
          <t>Respiración</t>
        </is>
      </c>
      <c r="B12" s="7">
        <f>COUNTIF(Catálogo!C2:C41,A12)</f>
        <v/>
      </c>
      <c r="C12" s="7">
        <f>COUNTIFS(Catálogo!C2:C41,A12,Catálogo!P2:P41,"publicada")</f>
        <v/>
      </c>
      <c r="D12" s="7">
        <f>SUMIF(Catálogo!C2:C41,A12,Catálogo!N2:N41)</f>
        <v/>
      </c>
    </row>
    <row r="13">
      <c r="A13" s="7" t="inlineStr">
        <is>
          <t>Cuencos</t>
        </is>
      </c>
      <c r="B13" s="7">
        <f>COUNTIF(Catálogo!C2:C41,A13)</f>
        <v/>
      </c>
      <c r="C13" s="7">
        <f>COUNTIFS(Catálogo!C2:C41,A13,Catálogo!P2:P41,"publicada")</f>
        <v/>
      </c>
      <c r="D13" s="7">
        <f>SUMIF(Catálogo!C2:C41,A13,Catálogo!N2:N41)</f>
        <v/>
      </c>
    </row>
    <row r="14">
      <c r="A14" s="7" t="inlineStr">
        <is>
          <t>Foco</t>
        </is>
      </c>
      <c r="B14" s="7">
        <f>COUNTIF(Catálogo!C2:C41,A14)</f>
        <v/>
      </c>
      <c r="C14" s="7">
        <f>COUNTIFS(Catálogo!C2:C41,A14,Catálogo!P2:P41,"publicada")</f>
        <v/>
      </c>
      <c r="D14" s="7">
        <f>SUMIF(Catálogo!C2:C41,A14,Catálogo!N2:N41)</f>
        <v/>
      </c>
    </row>
    <row r="15">
      <c r="A15" s="8" t="inlineStr">
        <is>
          <t>TOTAL</t>
        </is>
      </c>
      <c r="B15" s="8">
        <f>SUM(B10:B14)</f>
        <v/>
      </c>
      <c r="C15" s="8">
        <f>SUM(C10:C14)</f>
        <v/>
      </c>
      <c r="D15" s="8">
        <f>SUM(D10:D14)</f>
        <v/>
      </c>
    </row>
    <row r="17">
      <c r="A17" s="6" t="inlineStr">
        <is>
          <t>Rendimiento</t>
        </is>
      </c>
    </row>
    <row r="18">
      <c r="A18" s="7" t="inlineStr">
        <is>
          <t>Vistas totales</t>
        </is>
      </c>
      <c r="B18" s="7">
        <f>SUM(Catálogo!R2:R41)</f>
        <v/>
      </c>
    </row>
    <row r="19">
      <c r="A19" s="7" t="inlineStr">
        <is>
          <t>Suscriptores totales</t>
        </is>
      </c>
      <c r="B19" s="7">
        <f>SUM(Catálogo!S2:S41)</f>
        <v/>
      </c>
    </row>
    <row r="20">
      <c r="A20" s="7" t="inlineStr">
        <is>
          <t>Subs por 1.000 vistas</t>
        </is>
      </c>
      <c r="B20" s="9">
        <f>IFERROR(B19/B18*1000,"")</f>
        <v/>
      </c>
      <c r="C20" s="10" t="inlineStr">
        <is>
          <t>← la métrica que decide el canal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94" customWidth="1" min="2" max="2"/>
  </cols>
  <sheetData>
    <row r="1">
      <c r="A1" s="6" t="inlineStr">
        <is>
          <t>Cómo se usa esta hoja</t>
        </is>
      </c>
    </row>
    <row r="2">
      <c r="A2" s="6" t="inlineStr"/>
    </row>
    <row r="3">
      <c r="A3" s="8" t="inlineStr">
        <is>
          <t>Celdas amarillas</t>
        </is>
      </c>
      <c r="B3" s="11" t="inlineStr">
        <is>
          <t>Las únicas que se rellenan a mano. Todo lo demás está calculado o generado.</t>
        </is>
      </c>
    </row>
    <row r="4">
      <c r="A4" s="8" t="inlineStr">
        <is>
          <t>Texto azul</t>
        </is>
      </c>
      <c r="B4" s="11" t="inlineStr">
        <is>
          <t>Dato de entrada. El texto negro no se toca.</t>
        </is>
      </c>
    </row>
    <row r="5">
      <c r="A5" s="6" t="inlineStr"/>
    </row>
    <row r="6">
      <c r="A6" s="8" t="inlineStr">
        <is>
          <t>id</t>
        </is>
      </c>
      <c r="B6" s="11" t="inlineStr">
        <is>
          <t>Identificador fijo de la obra. No cambia nunca.</t>
        </is>
      </c>
    </row>
    <row r="7">
      <c r="A7" s="8" t="inlineStr">
        <is>
          <t>titulo</t>
        </is>
      </c>
      <c r="B7" s="11" t="inlineStr">
        <is>
          <t>Título de YouTube: palabra clave · raíz · nombre propio · duración.</t>
        </is>
      </c>
    </row>
    <row r="8">
      <c r="A8" s="8" t="inlineStr">
        <is>
          <t>tema</t>
        </is>
      </c>
      <c r="B8" s="11" t="inlineStr">
        <is>
          <t>Pilar de contenido. Determina la palabra clave y el ciclo respiratorio.</t>
        </is>
      </c>
    </row>
    <row r="9">
      <c r="A9" s="8" t="inlineStr">
        <is>
          <t>descripcion_optimizada</t>
        </is>
      </c>
      <c r="B9" s="11" t="inlineStr">
        <is>
          <t>Descripción bilingüe lista para pegar. Solo falta añadir los capítulos tras el montaje.</t>
        </is>
      </c>
    </row>
    <row r="10">
      <c r="A10" s="8" t="inlineStr">
        <is>
          <t>titulo_miniatura</t>
        </is>
      </c>
      <c r="B10" s="11" t="inlineStr">
        <is>
          <t>Texto de la miniatura: 2-4 palabras que COMPLETAN el título, nunca lo repiten.</t>
        </is>
      </c>
    </row>
    <row r="11">
      <c r="A11" s="8" t="inlineStr">
        <is>
          <t>hashtags</t>
        </is>
      </c>
      <c r="B11" s="11" t="inlineStr">
        <is>
          <t>Tres, al final de la descripción.</t>
        </is>
      </c>
    </row>
    <row r="12">
      <c r="A12" s="8" t="inlineStr">
        <is>
          <t>etiquetas</t>
        </is>
      </c>
      <c r="B12" s="11" t="inlineStr">
        <is>
          <t>Etiquetas del video, separadas por coma.</t>
        </is>
      </c>
    </row>
    <row r="13">
      <c r="A13" s="8" t="inlineStr">
        <is>
          <t>imagen_miniatura</t>
        </is>
      </c>
      <c r="B13" s="11" t="inlineStr">
        <is>
          <t>AMARILLA. Ruta o URL de la portada una vez generada.</t>
        </is>
      </c>
    </row>
    <row r="14">
      <c r="A14" s="8" t="inlineStr">
        <is>
          <t>url_video</t>
        </is>
      </c>
      <c r="B14" s="11" t="inlineStr">
        <is>
          <t>AMARILLA. URL de YouTube una vez publicado.</t>
        </is>
      </c>
    </row>
    <row r="15">
      <c r="A15" s="8" t="inlineStr">
        <is>
          <t>raiz_hz / modo / registro / semilla</t>
        </is>
      </c>
      <c r="B15" s="11" t="inlineStr">
        <is>
          <t>Parámetros de composición. El registro grave baja una octava (pilares Sueño y Foco). La semilla regenera la obra idéntica.</t>
        </is>
      </c>
    </row>
    <row r="16">
      <c r="A16" s="8" t="inlineStr">
        <is>
          <t>comando_regeneracion</t>
        </is>
      </c>
      <c r="B16" s="11" t="inlineStr">
        <is>
          <t>Comando exacto. Copiar, pegar y ejecutar: devuelve el mismo audio bit a bit.</t>
        </is>
      </c>
    </row>
    <row r="17">
      <c r="A17" s="8" t="inlineStr">
        <is>
          <t>estado</t>
        </is>
      </c>
      <c r="B17" s="11" t="inlineStr">
        <is>
          <t>AMARILLA. pendiente / compuesta / montada / publicada</t>
        </is>
      </c>
    </row>
    <row r="18">
      <c r="A18" s="8" t="inlineStr">
        <is>
          <t>fecha_publicacion</t>
        </is>
      </c>
      <c r="B18" s="11" t="inlineStr">
        <is>
          <t>AMARILLA. Formato AAAA-MM-DD.</t>
        </is>
      </c>
    </row>
    <row r="19">
      <c r="A19" s="8" t="inlineStr">
        <is>
          <t>vistas / suscriptores</t>
        </is>
      </c>
      <c r="B19" s="11" t="inlineStr">
        <is>
          <t>AMARILLA. Copiar de YouTube Studio a los 14 días de publicar.</t>
        </is>
      </c>
    </row>
    <row r="20">
      <c r="A20" s="8" t="inlineStr">
        <is>
          <t>subs_por_1000</t>
        </is>
      </c>
      <c r="B20" s="11" t="inlineStr">
        <is>
          <t>Calculada. Es la métrica que decide el canal: por debajo de 1, el problema es la portada, no la música.</t>
        </is>
      </c>
    </row>
    <row r="21">
      <c r="A21" s="6" t="inlineStr"/>
    </row>
    <row r="22">
      <c r="A22" s="8" t="inlineStr">
        <is>
          <t>Ejemplo de fila rellenada</t>
        </is>
      </c>
      <c r="B22" s="11" t="inlineStr">
        <is>
          <t>imagen_miniatura: portadas/obra-001.png | url_video: https://youtu.be/XXXXXXXXXXX | estado: publicada | fecha_publicacion: 2026-10-07 | vistas: 4820 | suscriptores: 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2026-09-17T02:09:06Z</dcterms:created>
  <dcterms:modified xsi:type="dcterms:W3CDTF">2026-09-17T02:09:06Z</dcterms:modified>
</cp:coreProperties>
</file>