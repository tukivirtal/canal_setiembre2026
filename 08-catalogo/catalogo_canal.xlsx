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'Catálogo'!$A$1:$Y$42</definedName>
    <definedName name="_xlnm._FilterDatabase" localSheetId="1" hidden="1">'Shorts'!$A$1:$S$288</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62" customWidth="1" min="19" max="19"/>
    <col width="62" customWidth="1" min="20" max="20"/>
    <col width="13" customWidth="1" min="21" max="21"/>
    <col width="18" customWidth="1" min="22" max="22"/>
    <col width="10" customWidth="1" min="23" max="23"/>
    <col width="13" customWidth="1" min="24" max="24"/>
    <col width="14" customWidth="1" min="25" max="25"/>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comando_regeneracion</t>
        </is>
      </c>
      <c r="T1" s="1" t="inlineStr">
        <is>
          <t>comando_ambiente</t>
        </is>
      </c>
      <c r="U1" s="1" t="inlineStr">
        <is>
          <t>estado</t>
        </is>
      </c>
      <c r="V1" s="1" t="inlineStr">
        <is>
          <t>fecha_publicacion</t>
        </is>
      </c>
      <c r="W1" s="1" t="inlineStr">
        <is>
          <t>vistas</t>
        </is>
      </c>
      <c r="X1" s="1" t="inlineStr">
        <is>
          <t>suscriptores</t>
        </is>
      </c>
      <c r="Y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3" t="inlineStr">
        <is>
          <t>python3 03-composicion/compositor.py --minutos 180 --raiz 432 --modo shin --semilla 505716 --caracter sin-cuenco --registro grave</t>
        </is>
      </c>
      <c r="T2" s="2" t="inlineStr">
        <is>
          <t>python3 03-composicion/ambiente.py audio/OBRA-001_432_shin.wav audio/OBRA-001_final.wav --fondo mar</t>
        </is>
      </c>
      <c r="U2" s="4" t="inlineStr">
        <is>
          <t>pendiente</t>
        </is>
      </c>
      <c r="V2" s="4" t="inlineStr"/>
      <c r="W2" s="4" t="inlineStr"/>
      <c r="X2" s="4" t="inlineStr"/>
      <c r="Y2" s="5">
        <f>IFERROR(X2/W2*1000,"")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3" t="inlineStr">
        <is>
          <t>python3 03-composicion/compositor.py --minutos 120 --raiz 528 --modo kumoi --semilla 443547 --caracter sin-cuenco --registro grave</t>
        </is>
      </c>
      <c r="T3" s="2" t="inlineStr">
        <is>
          <t>python3 03-composicion/ambiente.py audio/OBRA-002_528_kumoi.wav audio/OBRA-002_final.wav --fondo mar</t>
        </is>
      </c>
      <c r="U3" s="4" t="inlineStr">
        <is>
          <t>pendiente</t>
        </is>
      </c>
      <c r="V3" s="4" t="inlineStr"/>
      <c r="W3" s="4" t="inlineStr"/>
      <c r="X3" s="4" t="inlineStr"/>
      <c r="Y3" s="5">
        <f>IFERROR(X3/W3*1000,"")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3" t="inlineStr">
        <is>
          <t>python3 03-composicion/compositor.py --minutos 120 --raiz 396 --modo kumoi --semilla 692584 --caracter sin-cuenco --registro grave</t>
        </is>
      </c>
      <c r="T4" s="2" t="inlineStr">
        <is>
          <t>python3 03-composicion/ambiente.py audio/OBRA-003_396_kumoi.wav audio/OBRA-003_final.wav --fondo mar</t>
        </is>
      </c>
      <c r="U4" s="4" t="inlineStr">
        <is>
          <t>pendiente</t>
        </is>
      </c>
      <c r="V4" s="4" t="inlineStr"/>
      <c r="W4" s="4" t="inlineStr"/>
      <c r="X4" s="4" t="inlineStr"/>
      <c r="Y4" s="5">
        <f>IFERROR(X4/W4*1000,"")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3" t="inlineStr">
        <is>
          <t>python3 03-composicion/compositor.py --minutos 180 --raiz 528 --modo shin --semilla 751043 --caracter sin-cuenco --registro grave</t>
        </is>
      </c>
      <c r="T5" s="2" t="inlineStr">
        <is>
          <t>python3 03-composicion/ambiente.py audio/OBRA-004_528_shin.wav audio/OBRA-004_final.wav --fondo mar</t>
        </is>
      </c>
      <c r="U5" s="4" t="inlineStr">
        <is>
          <t>pendiente</t>
        </is>
      </c>
      <c r="V5" s="4" t="inlineStr"/>
      <c r="W5" s="4" t="inlineStr"/>
      <c r="X5" s="4" t="inlineStr"/>
      <c r="Y5" s="5">
        <f>IFERROR(X5/W5*1000,"")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3" t="inlineStr">
        <is>
          <t>python3 03-composicion/compositor.py --minutos 120 --raiz 432 --modo kumoi --semilla 531725 --caracter sin-cuenco --registro grave</t>
        </is>
      </c>
      <c r="T6" s="2" t="inlineStr">
        <is>
          <t>python3 03-composicion/ambiente.py audio/OBRA-005_432_kumoi.wav audio/OBRA-005_final.wav --fondo mar</t>
        </is>
      </c>
      <c r="U6" s="4" t="inlineStr">
        <is>
          <t>pendiente</t>
        </is>
      </c>
      <c r="V6" s="4" t="inlineStr"/>
      <c r="W6" s="4" t="inlineStr"/>
      <c r="X6" s="4" t="inlineStr"/>
      <c r="Y6" s="5">
        <f>IFERROR(X6/W6*1000,"")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3" t="inlineStr">
        <is>
          <t>python3 03-composicion/compositor.py --minutos 90 --raiz 417 --modo kumoi --semilla 813147 --caracter sin-cuenco --registro grave</t>
        </is>
      </c>
      <c r="T7" s="2" t="inlineStr">
        <is>
          <t>python3 03-composicion/ambiente.py audio/OBRA-006_417_kumoi.wav audio/OBRA-006_final.wav --fondo mar</t>
        </is>
      </c>
      <c r="U7" s="4" t="inlineStr">
        <is>
          <t>publicada</t>
        </is>
      </c>
      <c r="V7" s="4" t="inlineStr">
        <is>
          <t>2026-09-26</t>
        </is>
      </c>
      <c r="W7" s="4" t="inlineStr"/>
      <c r="X7" s="4" t="inlineStr"/>
      <c r="Y7" s="5">
        <f>IFERROR(X7/W7*1000,"")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3" t="inlineStr">
        <is>
          <t>python3 03-composicion/compositor.py --minutos 120 --raiz 396 --modo shin --semilla 885916 --caracter sin-cuenco --registro grave</t>
        </is>
      </c>
      <c r="T8" s="2" t="inlineStr">
        <is>
          <t>python3 03-composicion/ambiente.py audio/OBRA-007_396_shin.wav audio/OBRA-007_final.wav --fondo mar</t>
        </is>
      </c>
      <c r="U8" s="4" t="inlineStr">
        <is>
          <t>pendiente</t>
        </is>
      </c>
      <c r="V8" s="4" t="inlineStr"/>
      <c r="W8" s="4" t="inlineStr"/>
      <c r="X8" s="4" t="inlineStr"/>
      <c r="Y8" s="5">
        <f>IFERROR(X8/W8*1000,"")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3" t="inlineStr">
        <is>
          <t>python3 03-composicion/compositor.py --minutos 180 --raiz 432 --modo kumoi --semilla 295910 --caracter sin-cuenco --registro grave</t>
        </is>
      </c>
      <c r="T9" s="2" t="inlineStr">
        <is>
          <t>python3 03-composicion/ambiente.py audio/OBRA-008_432_kumoi.wav audio/OBRA-008_final.wav --fondo mar</t>
        </is>
      </c>
      <c r="U9" s="4" t="inlineStr">
        <is>
          <t>pendiente</t>
        </is>
      </c>
      <c r="V9" s="4" t="inlineStr"/>
      <c r="W9" s="4" t="inlineStr"/>
      <c r="X9" s="4" t="inlineStr"/>
      <c r="Y9" s="5">
        <f>IFERROR(X9/W9*1000,"")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3" t="inlineStr">
        <is>
          <t>python3 03-composicion/compositor.py --minutos 25 --raiz 396 --modo kumoi --semilla 555819 --caracter sin-cuenco</t>
        </is>
      </c>
      <c r="T10" s="2" t="inlineStr">
        <is>
          <t>python3 03-composicion/capas.py aves 1540 audio/OBRA-009_capa.wav --semilla 555819 --raiz 396 &amp;&amp; python3 03-composicion/ambiente.py audio/OBRA-009_396_kumoi.wav audio/OBRA-009_final.wav --fondo mar --nivel-capa -4 --capa audio/OBRA-009_capa.wav</t>
        </is>
      </c>
      <c r="U10" s="4" t="inlineStr">
        <is>
          <t>pendiente</t>
        </is>
      </c>
      <c r="V10" s="4" t="inlineStr"/>
      <c r="W10" s="4" t="inlineStr"/>
      <c r="X10" s="4" t="inlineStr"/>
      <c r="Y10" s="5">
        <f>IFERROR(X10/W10*1000,"")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3" t="inlineStr">
        <is>
          <t>python3 03-composicion/compositor.py --minutos 30 --raiz 432 --modo hirajoshi --semilla 739461 --caracter sin-cuenco</t>
        </is>
      </c>
      <c r="T11" s="2" t="inlineStr">
        <is>
          <t>python3 03-composicion/capas.py zen 1840 audio/OBRA-010_capa.wav --semilla 739461 --raiz 432 --densidad 1.4 &amp;&amp; python3 03-composicion/ambiente.py audio/OBRA-010_432_hirajoshi.wav audio/OBRA-010_final.wav --fondo mar --nivel-fondo -7 --nivel-capa 2 --capa audio/OBRA-010_capa.wav</t>
        </is>
      </c>
      <c r="U11" s="4" t="inlineStr">
        <is>
          <t>pendiente</t>
        </is>
      </c>
      <c r="V11" s="4" t="inlineStr"/>
      <c r="W11" s="4" t="inlineStr"/>
      <c r="X11" s="4" t="inlineStr"/>
      <c r="Y11" s="5">
        <f>IFERROR(X11/W11*1000,"")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3" t="inlineStr">
        <is>
          <t>python3 03-composicion/compositor.py --minutos 20 --raiz 528 --modo hirajoshi --semilla 913368 --caracter sin-cuenco</t>
        </is>
      </c>
      <c r="T12" s="2" t="inlineStr">
        <is>
          <t>python3 03-composicion/capas.py aves 1240 audio/OBRA-011_capa.wav --semilla 913368 --raiz 528 &amp;&amp; python3 03-composicion/ambiente.py audio/OBRA-011_528_hirajoshi.wav audio/OBRA-011_final.wav --fondo mar --nivel-capa -4 --capa audio/OBRA-011_capa.wav</t>
        </is>
      </c>
      <c r="U12" s="4" t="inlineStr">
        <is>
          <t>pendiente</t>
        </is>
      </c>
      <c r="V12" s="4" t="inlineStr"/>
      <c r="W12" s="4" t="inlineStr"/>
      <c r="X12" s="4" t="inlineStr"/>
      <c r="Y12" s="5">
        <f>IFERROR(X12/W12*1000,"")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3" t="inlineStr">
        <is>
          <t>python3 03-composicion/compositor.py --minutos 10 --raiz 528 --modo shin --semilla 43734 --caracter sin-cuenco</t>
        </is>
      </c>
      <c r="T13" s="2" t="inlineStr">
        <is>
          <t>python3 03-composicion/capas.py zen 640 audio/OBRA-012_capa.wav --semilla 43734 --raiz 528 --densidad 1.4 &amp;&amp; python3 03-composicion/ambiente.py audio/OBRA-012_528_shin.wav audio/OBRA-012_final.wav --fondo mar --nivel-fondo -7 --nivel-capa 2 --capa audio/OBRA-012_capa.wav</t>
        </is>
      </c>
      <c r="U13" s="4" t="inlineStr">
        <is>
          <t>publicada</t>
        </is>
      </c>
      <c r="V13" s="4" t="inlineStr">
        <is>
          <t>2026-09-23</t>
        </is>
      </c>
      <c r="W13" s="4" t="inlineStr"/>
      <c r="X13" s="4" t="inlineStr"/>
      <c r="Y13" s="5">
        <f>IFERROR(X13/W13*1000,"")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3" t="inlineStr">
        <is>
          <t>python3 03-composicion/compositor.py --minutos 20 --raiz 432 --modo hirajoshi --semilla 627771 --caracter sin-cuenco</t>
        </is>
      </c>
      <c r="T14" s="2" t="inlineStr">
        <is>
          <t>python3 03-composicion/capas.py aves 1240 audio/OBRA-013_capa.wav --semilla 627771 --raiz 432 &amp;&amp; python3 03-composicion/ambiente.py audio/OBRA-013_432_hirajoshi.wav audio/OBRA-013_final.wav --fondo mar --nivel-capa -4 --capa audio/OBRA-013_capa.wav</t>
        </is>
      </c>
      <c r="U14" s="4" t="inlineStr">
        <is>
          <t>pendiente</t>
        </is>
      </c>
      <c r="V14" s="4" t="inlineStr"/>
      <c r="W14" s="4" t="inlineStr"/>
      <c r="X14" s="4" t="inlineStr"/>
      <c r="Y14" s="5">
        <f>IFERROR(X14/W14*1000,"")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3" t="inlineStr">
        <is>
          <t>python3 03-composicion/compositor.py --minutos 20 --raiz 528 --modo yo --semilla 310137 --caracter sin-cuenco</t>
        </is>
      </c>
      <c r="T15" s="2" t="inlineStr">
        <is>
          <t>python3 03-composicion/capas.py zen 1240 audio/OBRA-014_capa.wav --semilla 310137 --raiz 528 --densidad 1.4 &amp;&amp; python3 03-composicion/ambiente.py audio/OBRA-014_528_yo.wav audio/OBRA-014_final.wav --fondo mar --nivel-fondo -7 --nivel-capa 2 --capa audio/OBRA-014_capa.wav</t>
        </is>
      </c>
      <c r="U15" s="4" t="inlineStr">
        <is>
          <t>pendiente</t>
        </is>
      </c>
      <c r="V15" s="4" t="inlineStr"/>
      <c r="W15" s="4" t="inlineStr"/>
      <c r="X15" s="4" t="inlineStr"/>
      <c r="Y15" s="5">
        <f>IFERROR(X15/W15*1000,"")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3" t="inlineStr">
        <is>
          <t>python3 03-composicion/compositor.py --minutos 15 --raiz 639 --modo yo --semilla 592463 --caracter sin-cuenco</t>
        </is>
      </c>
      <c r="T16" s="2" t="inlineStr">
        <is>
          <t>python3 03-composicion/capas.py aves 940 audio/OBRA-015_capa.wav --semilla 592463 --raiz 639 &amp;&amp; python3 03-composicion/ambiente.py audio/OBRA-015_639_yo.wav audio/OBRA-015_final.wav --fondo mar --nivel-capa -4 --capa audio/OBRA-015_capa.wav</t>
        </is>
      </c>
      <c r="U16" s="4" t="inlineStr">
        <is>
          <t>publicada</t>
        </is>
      </c>
      <c r="V16" s="4" t="inlineStr">
        <is>
          <t>2026-09-23</t>
        </is>
      </c>
      <c r="W16" s="4" t="inlineStr"/>
      <c r="X16" s="4" t="inlineStr"/>
      <c r="Y16" s="5">
        <f>IFERROR(X16/W16*1000,"")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3" t="inlineStr">
        <is>
          <t>python3 03-composicion/compositor.py --minutos 30 --raiz 417 --modo kumoi --semilla 250697 --caracter sin-cuenco</t>
        </is>
      </c>
      <c r="T17" s="2" t="inlineStr">
        <is>
          <t>python3 03-composicion/capas.py ancestral 1840 audio/OBRA-016_capa.wav --semilla 250697 --raiz 417 &amp;&amp; python3 03-composicion/ambiente.py audio/OBRA-016_417_kumoi.wav audio/OBRA-016_final.wav --fondo fuego --nivel-capa 0 --nivel-obra -20 --capa audio/OBRA-016_capa.wav</t>
        </is>
      </c>
      <c r="U17" s="4" t="inlineStr">
        <is>
          <t>pendiente</t>
        </is>
      </c>
      <c r="V17" s="4" t="inlineStr"/>
      <c r="W17" s="4" t="inlineStr"/>
      <c r="X17" s="4" t="inlineStr"/>
      <c r="Y17" s="5">
        <f>IFERROR(X17/W17*1000,"")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3" t="inlineStr">
        <is>
          <t>python3 03-composicion/compositor.py --minutos 45 --raiz 417 --modo hirajoshi --semilla 714152 --caracter sin-cuenco</t>
        </is>
      </c>
      <c r="T18" s="2" t="inlineStr">
        <is>
          <t>python3 03-composicion/capas.py zen 2740 audio/OBRA-017_capa.wav --semilla 714152 --raiz 417 --densidad 1.4 &amp;&amp; python3 03-composicion/ambiente.py audio/OBRA-017_417_hirajoshi.wav audio/OBRA-017_final.wav --fondo mar --nivel-fondo -7 --nivel-capa 2 --capa audio/OBRA-017_capa.wav</t>
        </is>
      </c>
      <c r="U18" s="4" t="inlineStr">
        <is>
          <t>pendiente</t>
        </is>
      </c>
      <c r="V18" s="4" t="inlineStr"/>
      <c r="W18" s="4" t="inlineStr"/>
      <c r="X18" s="4" t="inlineStr"/>
      <c r="Y18" s="5">
        <f>IFERROR(X18/W18*1000,"")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3" t="inlineStr">
        <is>
          <t>python3 03-composicion/compositor.py --minutos 45 --raiz 528 --modo hirajoshi --semilla 735455 --caracter sin-cuenco</t>
        </is>
      </c>
      <c r="T19" s="2" t="inlineStr">
        <is>
          <t>python3 03-composicion/capas.py zen 2740 audio/OBRA-018_capa.wav --semilla 735455 --raiz 528 --densidad 1.4 &amp;&amp; python3 03-composicion/ambiente.py audio/OBRA-018_528_hirajoshi.wav audio/OBRA-018_final.wav --fondo mar --nivel-fondo -7 --nivel-capa 2 --capa audio/OBRA-018_capa.wav</t>
        </is>
      </c>
      <c r="U19" s="4" t="inlineStr">
        <is>
          <t>pendiente</t>
        </is>
      </c>
      <c r="V19" s="4" t="inlineStr"/>
      <c r="W19" s="4" t="inlineStr"/>
      <c r="X19" s="4" t="inlineStr"/>
      <c r="Y19" s="5">
        <f>IFERROR(X19/W19*1000,"")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3" t="inlineStr">
        <is>
          <t>python3 03-composicion/compositor.py --minutos 60 --raiz 432 --modo shin --semilla 627577 --caracter sin-cuenco</t>
        </is>
      </c>
      <c r="T20" s="2" t="inlineStr">
        <is>
          <t>python3 03-composicion/capas.py zen 3640 audio/OBRA-019_capa.wav --semilla 627577 --raiz 432 --densidad 1.4 &amp;&amp; python3 03-composicion/ambiente.py audio/OBRA-019_432_shin.wav audio/OBRA-019_final.wav --fondo mar --nivel-fondo -7 --nivel-capa 2 --capa audio/OBRA-019_capa.wav</t>
        </is>
      </c>
      <c r="U20" s="4" t="inlineStr">
        <is>
          <t>pendiente</t>
        </is>
      </c>
      <c r="V20" s="4" t="inlineStr"/>
      <c r="W20" s="4" t="inlineStr"/>
      <c r="X20" s="4" t="inlineStr"/>
      <c r="Y20" s="5">
        <f>IFERROR(X20/W20*1000,"")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3" t="inlineStr">
        <is>
          <t>python3 03-composicion/compositor.py --minutos 30 --raiz 528 --modo shin --semilla 632595 --caracter sin-cuenco</t>
        </is>
      </c>
      <c r="T21" s="2" t="inlineStr">
        <is>
          <t>python3 03-composicion/capas.py ancestral 1840 audio/OBRA-020_capa.wav --semilla 632595 --raiz 528 &amp;&amp; python3 03-composicion/ambiente.py audio/OBRA-020_528_shin.wav audio/OBRA-020_final.wav --fondo fuego --nivel-capa 0 --nivel-obra -20 --capa audio/OBRA-020_capa.wav</t>
        </is>
      </c>
      <c r="U21" s="4" t="inlineStr">
        <is>
          <t>publicada</t>
        </is>
      </c>
      <c r="V21" s="4" t="inlineStr">
        <is>
          <t>2026-09-24</t>
        </is>
      </c>
      <c r="W21" s="4" t="inlineStr"/>
      <c r="X21" s="4" t="inlineStr"/>
      <c r="Y21" s="5">
        <f>IFERROR(X21/W21*1000,"")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3" t="inlineStr">
        <is>
          <t>python3 03-composicion/compositor.py --minutos 45 --raiz 396 --modo kumoi --semilla 864630 --caracter sin-cuenco</t>
        </is>
      </c>
      <c r="T22" s="2" t="inlineStr">
        <is>
          <t>python3 03-composicion/capas.py zen 2740 audio/OBRA-021_capa.wav --semilla 864630 --raiz 396 --densidad 1.4 &amp;&amp; python3 03-composicion/ambiente.py audio/OBRA-021_396_kumoi.wav audio/OBRA-021_final.wav --fondo mar --nivel-fondo -7 --nivel-capa 2 --capa audio/OBRA-021_capa.wav</t>
        </is>
      </c>
      <c r="U22" s="4" t="inlineStr">
        <is>
          <t>pendiente</t>
        </is>
      </c>
      <c r="V22" s="4" t="inlineStr"/>
      <c r="W22" s="4" t="inlineStr"/>
      <c r="X22" s="4" t="inlineStr"/>
      <c r="Y22" s="5">
        <f>IFERROR(X22/W22*1000,"")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3" t="inlineStr">
        <is>
          <t>python3 03-composicion/compositor.py --minutos 60 --raiz 639 --modo yo --semilla 335798 --caracter sin-cuenco</t>
        </is>
      </c>
      <c r="T23" s="2" t="inlineStr">
        <is>
          <t>python3 03-composicion/capas.py zen 3640 audio/OBRA-022_capa.wav --semilla 335798 --raiz 639 --densidad 1.4 &amp;&amp; python3 03-composicion/ambiente.py audio/OBRA-022_639_yo.wav audio/OBRA-022_final.wav --fondo mar --nivel-fondo -7 --nivel-capa 2 --capa audio/OBRA-022_capa.wav</t>
        </is>
      </c>
      <c r="U23" s="4" t="inlineStr">
        <is>
          <t>pendiente</t>
        </is>
      </c>
      <c r="V23" s="4" t="inlineStr"/>
      <c r="W23" s="4" t="inlineStr"/>
      <c r="X23" s="4" t="inlineStr"/>
      <c r="Y23" s="5">
        <f>IFERROR(X23/W23*1000,"")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3" t="inlineStr">
        <is>
          <t>python3 03-composicion/compositor.py --minutos 20 --raiz 528 --modo shin --semilla 299306 --caracter sin-cuenco</t>
        </is>
      </c>
      <c r="T24" s="2" t="inlineStr">
        <is>
          <t>python3 03-composicion/capas.py zen 1240 audio/OBRA-023_capa.wav --semilla 299306 --raiz 528 --densidad 1.4 &amp;&amp; python3 03-composicion/ambiente.py audio/OBRA-023_528_shin.wav audio/OBRA-023_final.wav --fondo mar --nivel-fondo -7 --nivel-capa 2 --capa audio/OBRA-023_capa.wav</t>
        </is>
      </c>
      <c r="U24" s="4" t="inlineStr">
        <is>
          <t>pendiente</t>
        </is>
      </c>
      <c r="V24" s="4" t="inlineStr"/>
      <c r="W24" s="4" t="inlineStr"/>
      <c r="X24" s="4" t="inlineStr"/>
      <c r="Y24" s="5">
        <f>IFERROR(X24/W24*1000,"")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3" t="inlineStr">
        <is>
          <t>python3 03-composicion/compositor.py --minutos 60 --raiz 432 --modo kumoi --semilla 926202 --caracter sin-cuenco</t>
        </is>
      </c>
      <c r="T25" s="2" t="inlineStr">
        <is>
          <t>python3 03-composicion/capas.py ancestral 3640 audio/OBRA-024_capa.wav --semilla 926202 --raiz 432 &amp;&amp; python3 03-composicion/ambiente.py audio/OBRA-024_432_kumoi.wav audio/OBRA-024_final.wav --fondo fuego --nivel-capa 0 --nivel-obra -20 --capa audio/OBRA-024_capa.wav</t>
        </is>
      </c>
      <c r="U25" s="4" t="inlineStr">
        <is>
          <t>pendiente</t>
        </is>
      </c>
      <c r="V25" s="4" t="inlineStr"/>
      <c r="W25" s="4" t="inlineStr"/>
      <c r="X25" s="4" t="inlineStr"/>
      <c r="Y25" s="5">
        <f>IFERROR(X25/W25*1000,"")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3" t="inlineStr">
        <is>
          <t>python3 03-composicion/compositor.py --minutos 60 --raiz 528 --modo hirajoshi --semilla 454078 --caracter sin-cuenco</t>
        </is>
      </c>
      <c r="T26" s="2" t="inlineStr">
        <is>
          <t>python3 03-composicion/capas.py aves 3640 audio/OBRA-025_capa.wav --semilla 454078 --raiz 528 &amp;&amp; python3 03-composicion/ambiente.py audio/OBRA-025_528_hirajoshi.wav audio/OBRA-025_final.wav --fondo mar --nivel-capa -4 --capa audio/OBRA-025_capa.wav</t>
        </is>
      </c>
      <c r="U26" s="4" t="inlineStr">
        <is>
          <t>pendiente</t>
        </is>
      </c>
      <c r="V26" s="4" t="inlineStr"/>
      <c r="W26" s="4" t="inlineStr"/>
      <c r="X26" s="4" t="inlineStr"/>
      <c r="Y26" s="5">
        <f>IFERROR(X26/W26*1000,"")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3" t="inlineStr">
        <is>
          <t>python3 03-composicion/compositor.py --minutos 60 --raiz 432 --modo kumoi --semilla 146597 --caracter sin-cuenco</t>
        </is>
      </c>
      <c r="T27" s="2" t="inlineStr">
        <is>
          <t>python3 03-composicion/ambiente.py audio/OBRA-026_432_kumoi.wav audio/OBRA-026_final.wav --fondo mar</t>
        </is>
      </c>
      <c r="U27" s="4" t="inlineStr">
        <is>
          <t>pendiente</t>
        </is>
      </c>
      <c r="V27" s="4" t="inlineStr"/>
      <c r="W27" s="4" t="inlineStr"/>
      <c r="X27" s="4" t="inlineStr"/>
      <c r="Y27" s="5">
        <f>IFERROR(X27/W27*1000,"")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3" t="inlineStr">
        <is>
          <t>python3 03-composicion/compositor.py --minutos 60 --raiz 396 --modo kumoi --semilla 338018 --caracter sin-cuenco</t>
        </is>
      </c>
      <c r="T28" s="2" t="inlineStr">
        <is>
          <t>python3 03-composicion/capas.py ancestral 3640 audio/OBRA-027_capa.wav --semilla 338018 --raiz 396 &amp;&amp; python3 03-composicion/ambiente.py audio/OBRA-027_396_kumoi.wav audio/OBRA-027_final.wav --fondo fuego --nivel-capa 0 --nivel-obra -20 --capa audio/OBRA-027_capa.wav</t>
        </is>
      </c>
      <c r="U28" s="4" t="inlineStr">
        <is>
          <t>pendiente</t>
        </is>
      </c>
      <c r="V28" s="4" t="inlineStr"/>
      <c r="W28" s="4" t="inlineStr"/>
      <c r="X28" s="4" t="inlineStr"/>
      <c r="Y28" s="5">
        <f>IFERROR(X28/W28*1000,"")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3" t="inlineStr">
        <is>
          <t>python3 03-composicion/compositor.py --minutos 45 --raiz 417 --modo hirajoshi --semilla 409966 --caracter sin-cuenco</t>
        </is>
      </c>
      <c r="T29" s="2" t="inlineStr">
        <is>
          <t>python3 03-composicion/capas.py zen 2740 audio/OBRA-028_capa.wav --semilla 409966 --raiz 417 --densidad 1.4 &amp;&amp; python3 03-composicion/ambiente.py audio/OBRA-028_417_hirajoshi.wav audio/OBRA-028_final.wav --fondo mar --nivel-fondo -7 --nivel-capa 2 --capa audio/OBRA-028_capa.wav</t>
        </is>
      </c>
      <c r="U29" s="4" t="inlineStr">
        <is>
          <t>pendiente</t>
        </is>
      </c>
      <c r="V29" s="4" t="inlineStr"/>
      <c r="W29" s="4" t="inlineStr"/>
      <c r="X29" s="4" t="inlineStr"/>
      <c r="Y29" s="5">
        <f>IFERROR(X29/W29*1000,"")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3" t="inlineStr">
        <is>
          <t>python3 03-composicion/compositor.py --minutos 60 --raiz 639 --modo yo --semilla 133046 --caracter sin-cuenco</t>
        </is>
      </c>
      <c r="T30" s="2" t="inlineStr">
        <is>
          <t>python3 03-composicion/capas.py aves 3640 audio/OBRA-029_capa.wav --semilla 133046 --raiz 639 --densidad 2 &amp;&amp; python3 03-composicion/ambiente.py audio/OBRA-029_639_yo.wav audio/OBRA-029_final.wav --fondo selva --nivel-capa -2 --capa audio/OBRA-029_capa.wav</t>
        </is>
      </c>
      <c r="U30" s="4" t="inlineStr">
        <is>
          <t>pendiente</t>
        </is>
      </c>
      <c r="V30" s="4" t="inlineStr"/>
      <c r="W30" s="4" t="inlineStr"/>
      <c r="X30" s="4" t="inlineStr"/>
      <c r="Y30" s="5">
        <f>IFERROR(X30/W30*1000,"")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3" t="inlineStr">
        <is>
          <t>python3 03-composicion/compositor.py --minutos 45 --raiz 741 --modo yo --semilla 244487 --caracter sin-cuenco</t>
        </is>
      </c>
      <c r="T31" s="2" t="inlineStr">
        <is>
          <t>python3 03-composicion/capas.py aves 2740 audio/OBRA-030_capa.wav --semilla 244487 --raiz 741 &amp;&amp; python3 03-composicion/ambiente.py audio/OBRA-030_741_yo.wav audio/OBRA-030_final.wav --fondo mar --nivel-capa -4 --capa audio/OBRA-030_capa.wav</t>
        </is>
      </c>
      <c r="U31" s="4" t="inlineStr">
        <is>
          <t>pendiente</t>
        </is>
      </c>
      <c r="V31" s="4" t="inlineStr"/>
      <c r="W31" s="4" t="inlineStr"/>
      <c r="X31" s="4" t="inlineStr"/>
      <c r="Y31" s="5">
        <f>IFERROR(X31/W31*1000,"")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3" t="inlineStr">
        <is>
          <t>python3 03-composicion/compositor.py --minutos 45 --raiz 852 --modo hirajoshi --semilla 288169 --caracter sin-cuenco</t>
        </is>
      </c>
      <c r="T32" s="2" t="inlineStr">
        <is>
          <t>python3 03-composicion/capas.py zen 2740 audio/OBRA-031_capa.wav --semilla 288169 --raiz 852 --densidad 1.4 &amp;&amp; python3 03-composicion/ambiente.py audio/OBRA-031_852_hirajoshi.wav audio/OBRA-031_final.wav --fondo mar --nivel-fondo -7 --nivel-capa 2 --capa audio/OBRA-031_capa.wav</t>
        </is>
      </c>
      <c r="U32" s="4" t="inlineStr">
        <is>
          <t>pendiente</t>
        </is>
      </c>
      <c r="V32" s="4" t="inlineStr"/>
      <c r="W32" s="4" t="inlineStr"/>
      <c r="X32" s="4" t="inlineStr"/>
      <c r="Y32" s="5">
        <f>IFERROR(X32/W32*1000,"")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3" t="inlineStr">
        <is>
          <t>python3 03-composicion/compositor.py --minutos 180 --raiz 528 --modo hirajoshi --semilla 638156 --caracter sin-cuenco</t>
        </is>
      </c>
      <c r="T33" s="2" t="inlineStr">
        <is>
          <t>python3 03-composicion/capas.py aves 10840 audio/OBRA-032_capa.wav --semilla 638156 --raiz 528 &amp;&amp; python3 03-composicion/ambiente.py audio/OBRA-032_528_hirajoshi.wav audio/OBRA-032_final.wav --fondo mar --nivel-capa -4 --capa audio/OBRA-032_capa.wav</t>
        </is>
      </c>
      <c r="U33" s="4" t="inlineStr">
        <is>
          <t>pendiente</t>
        </is>
      </c>
      <c r="V33" s="4" t="inlineStr"/>
      <c r="W33" s="4" t="inlineStr"/>
      <c r="X33" s="4" t="inlineStr"/>
      <c r="Y33" s="5">
        <f>IFERROR(X33/W33*1000,"")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3" t="inlineStr">
        <is>
          <t>python3 03-composicion/compositor.py --minutos 120 --raiz 639 --modo yo --semilla 112334 --caracter sin-cuenco --registro grave</t>
        </is>
      </c>
      <c r="T34" s="2" t="inlineStr">
        <is>
          <t>python3 03-composicion/capas.py aves 7240 audio/OBRA-033_capa.wav --semilla 112334 --raiz 639 --densidad 2 &amp;&amp; python3 03-composicion/ambiente.py audio/OBRA-033_639_yo.wav audio/OBRA-033_final.wav --fondo selva --nivel-capa -2 --capa audio/OBRA-033_capa.wav</t>
        </is>
      </c>
      <c r="U34" s="4" t="inlineStr">
        <is>
          <t>pendiente</t>
        </is>
      </c>
      <c r="V34" s="4" t="inlineStr"/>
      <c r="W34" s="4" t="inlineStr"/>
      <c r="X34" s="4" t="inlineStr"/>
      <c r="Y34" s="5">
        <f>IFERROR(X34/W34*1000,"")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3" t="inlineStr">
        <is>
          <t>python3 03-composicion/compositor.py --minutos 180 --raiz 528 --modo yo --semilla 249239 --caracter sin-cuenco --registro grave</t>
        </is>
      </c>
      <c r="T35" s="2" t="inlineStr">
        <is>
          <t>python3 03-composicion/capas.py aves 10840 audio/OBRA-034_capa.wav --semilla 249239 --raiz 528 &amp;&amp; python3 03-composicion/ambiente.py audio/OBRA-034_528_yo.wav audio/OBRA-034_final.wav --fondo mar --nivel-capa -4 --capa audio/OBRA-034_capa.wav</t>
        </is>
      </c>
      <c r="U35" s="4" t="inlineStr">
        <is>
          <t>pendiente</t>
        </is>
      </c>
      <c r="V35" s="4" t="inlineStr"/>
      <c r="W35" s="4" t="inlineStr"/>
      <c r="X35" s="4" t="inlineStr"/>
      <c r="Y35" s="5">
        <f>IFERROR(X35/W35*1000,"")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3" t="inlineStr">
        <is>
          <t>python3 03-composicion/compositor.py --minutos 120 --raiz 741 --modo yo --semilla 74636 --caracter sin-cuenco --registro grave</t>
        </is>
      </c>
      <c r="T36" s="2" t="inlineStr">
        <is>
          <t>python3 03-composicion/capas.py aves 7240 audio/OBRA-035_capa.wav --semilla 74636 --raiz 741 --densidad 2 &amp;&amp; python3 03-composicion/ambiente.py audio/OBRA-035_741_yo.wav audio/OBRA-035_final.wav --fondo selva --nivel-capa -2 --capa audio/OBRA-035_capa.wav</t>
        </is>
      </c>
      <c r="U36" s="4" t="inlineStr">
        <is>
          <t>pendiente</t>
        </is>
      </c>
      <c r="V36" s="4" t="inlineStr"/>
      <c r="W36" s="4" t="inlineStr"/>
      <c r="X36" s="4" t="inlineStr"/>
      <c r="Y36" s="5">
        <f>IFERROR(X36/W36*1000,"")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3" t="inlineStr">
        <is>
          <t>python3 03-composicion/compositor.py --minutos 90 --raiz 852 --modo yo --semilla 903477 --caracter sin-cuenco --registro grave</t>
        </is>
      </c>
      <c r="T37" s="2" t="inlineStr">
        <is>
          <t>python3 03-composicion/capas.py aves 5440 audio/OBRA-036_capa.wav --semilla 903477 --raiz 852 &amp;&amp; python3 03-composicion/ambiente.py audio/OBRA-036_852_yo.wav audio/OBRA-036_final.wav --fondo mar --nivel-capa -4 --capa audio/OBRA-036_capa.wav</t>
        </is>
      </c>
      <c r="U37" s="4" t="inlineStr">
        <is>
          <t>pendiente</t>
        </is>
      </c>
      <c r="V37" s="4" t="inlineStr"/>
      <c r="W37" s="4" t="inlineStr"/>
      <c r="X37" s="4" t="inlineStr"/>
      <c r="Y37" s="5">
        <f>IFERROR(X37/W37*1000,"")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3" t="inlineStr">
        <is>
          <t>python3 03-composicion/compositor.py --minutos 120 --raiz 432 --modo yo --semilla 718809 --caracter sin-cuenco --registro grave</t>
        </is>
      </c>
      <c r="T38" s="2" t="inlineStr">
        <is>
          <t>python3 03-composicion/capas.py aves 7240 audio/OBRA-037_capa.wav --semilla 718809 --raiz 432 --densidad 2 &amp;&amp; python3 03-composicion/ambiente.py audio/OBRA-037_432_yo.wav audio/OBRA-037_final.wav --fondo selva --nivel-capa -2 --capa audio/OBRA-037_capa.wav</t>
        </is>
      </c>
      <c r="U38" s="4" t="inlineStr">
        <is>
          <t>pendiente</t>
        </is>
      </c>
      <c r="V38" s="4" t="inlineStr"/>
      <c r="W38" s="4" t="inlineStr"/>
      <c r="X38" s="4" t="inlineStr"/>
      <c r="Y38" s="5">
        <f>IFERROR(X38/W38*1000,"")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3" t="inlineStr">
        <is>
          <t>python3 03-composicion/compositor.py --minutos 120 --raiz 528 --modo shin --semilla 203246 --caracter sin-cuenco --registro grave</t>
        </is>
      </c>
      <c r="T39" s="2" t="inlineStr">
        <is>
          <t>python3 03-composicion/ambiente.py audio/OBRA-038_528_shin.wav audio/OBRA-038_final.wav --fondo mar</t>
        </is>
      </c>
      <c r="U39" s="4" t="inlineStr">
        <is>
          <t>pendiente</t>
        </is>
      </c>
      <c r="V39" s="4" t="inlineStr"/>
      <c r="W39" s="4" t="inlineStr"/>
      <c r="X39" s="4" t="inlineStr"/>
      <c r="Y39" s="5">
        <f>IFERROR(X39/W39*1000,"")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3" t="inlineStr">
        <is>
          <t>python3 03-composicion/compositor.py --minutos 90 --raiz 639 --modo yo --semilla 281608 --caracter sin-cuenco --registro grave</t>
        </is>
      </c>
      <c r="T40" s="2" t="inlineStr">
        <is>
          <t>python3 03-composicion/capas.py aves 5440 audio/OBRA-039_capa.wav --semilla 281608 --raiz 639 --densidad 2 &amp;&amp; python3 03-composicion/ambiente.py audio/OBRA-039_639_yo.wav audio/OBRA-039_final.wav --fondo selva --nivel-capa -2 --capa audio/OBRA-039_capa.wav</t>
        </is>
      </c>
      <c r="U40" s="4" t="inlineStr">
        <is>
          <t>pendiente</t>
        </is>
      </c>
      <c r="V40" s="4" t="inlineStr"/>
      <c r="W40" s="4" t="inlineStr"/>
      <c r="X40" s="4" t="inlineStr"/>
      <c r="Y40" s="5">
        <f>IFERROR(X40/W40*1000,"")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3" t="inlineStr">
        <is>
          <t>python3 03-composicion/compositor.py --minutos 180 --raiz 741 --modo yo --semilla 883876 --caracter sin-cuenco --registro grave</t>
        </is>
      </c>
      <c r="T41" s="2" t="inlineStr">
        <is>
          <t>python3 03-composicion/capas.py aves 10840 audio/OBRA-040_capa.wav --semilla 883876 --raiz 741 &amp;&amp; python3 03-composicion/ambiente.py audio/OBRA-040_741_yo.wav audio/OBRA-040_final.wav --fondo mar --nivel-capa -4 --capa audio/OBRA-040_capa.wav</t>
        </is>
      </c>
      <c r="U41" s="4" t="inlineStr">
        <is>
          <t>pendiente</t>
        </is>
      </c>
      <c r="V41" s="4" t="inlineStr"/>
      <c r="W41" s="4" t="inlineStr"/>
      <c r="X41" s="4" t="inlineStr"/>
      <c r="Y41" s="5">
        <f>IFERROR(X41/W41*1000,"")</f>
        <v/>
      </c>
    </row>
    <row r="42" ht="58" customHeight="1">
      <c r="A42" s="2" t="inlineStr">
        <is>
          <t>OBRA-041</t>
        </is>
      </c>
      <c r="B42" s="3" t="inlineStr">
        <is>
          <t>Music for Anxiety · Birds and Temple Bells · 432 Hz · Stop Overthinking · 1 Hour</t>
        </is>
      </c>
      <c r="C42" s="2" t="inlineStr">
        <is>
          <t>Música para momentos de ansiedad · Pájaros y campanas del templo · 432 Hz · Dejar de pensar · 1 hora</t>
        </is>
      </c>
      <c r="D42" s="2" t="inlineStr">
        <is>
          <t>Ansiedad</t>
        </is>
      </c>
      <c r="E42" s="2" t="inlineStr">
        <is>
          <t>jardin</t>
        </is>
      </c>
      <c r="F42" s="3" t="inlineStr">
        <is>
          <t>Stop Overthinking · 1 Hour
To accompany a pause when your mind won't stop.
Ambience: birds and temple bells.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#relaxingmusic #meditation #432hz</t>
        </is>
      </c>
      <c r="J42" s="3" t="inlineStr">
        <is>
          <t>music for anxiety, 432 hz, 432 hz music, anxiety relief, stress relief, calming music, birdsong, wind chimes, zen garden, relaxing music, meditation music, ambient music, just intonation, original composition, Rin, música para momentos de ansiedad</t>
        </is>
      </c>
      <c r="K42" s="4" t="inlineStr"/>
      <c r="L42" s="4" t="inlineStr"/>
      <c r="M42" s="2" t="n">
        <v>432</v>
      </c>
      <c r="N42" s="2" t="inlineStr">
        <is>
          <t>hirajoshi</t>
        </is>
      </c>
      <c r="O42" s="2" t="inlineStr">
        <is>
          <t>medio</t>
        </is>
      </c>
      <c r="P42" s="2" t="n">
        <v>304617</v>
      </c>
      <c r="Q42" s="2" t="n">
        <v>0</v>
      </c>
      <c r="R42" s="2" t="n">
        <v>60</v>
      </c>
      <c r="S42" s="3" t="inlineStr">
        <is>
          <t>python3 03-composicion/compositor.py --minutos 60 --raiz 432 --modo hirajoshi --semilla 304617 --caracter sin-cuenco</t>
        </is>
      </c>
      <c r="T42" s="2" t="inlineStr">
        <is>
          <t>python3 03-composicion/capas.py jardin 3640 audio/OBRA-041_capa.wav --semilla 304617 --raiz 432 &amp;&amp; python3 03-composicion/ambiente.py audio/OBRA-041_432_hirajoshi.wav audio/OBRA-041_final.wav --fondo mar --nivel-fondo -8 --nivel-capa 0 --capa audio/OBRA-041_capa.wav</t>
        </is>
      </c>
      <c r="U42" s="4" t="inlineStr">
        <is>
          <t>pendiente</t>
        </is>
      </c>
      <c r="V42" s="4" t="inlineStr"/>
      <c r="W42" s="4" t="inlineStr"/>
      <c r="X42" s="4" t="inlineStr"/>
      <c r="Y42" s="5">
        <f>IFERROR(X42/W42*1000,"")</f>
        <v/>
      </c>
    </row>
  </sheetData>
  <autoFilter ref="A1:Y4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Music for Anxiety · Birds and Temple Bells · 432 Hz · Stop Overthinking · 1 Hour
#anxietyrelief #calm #relaxingmusic #432hz #shorts</t>
        </is>
      </c>
      <c r="K282" s="2" t="inlineStr">
        <is>
          <t>anxiety relief, calming music, 432 hz, birds and temple bells, Rin</t>
        </is>
      </c>
      <c r="L282" s="2" t="inlineStr"/>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Music for Anxiety · Birds and Temple Bells · 432 Hz · Stop Overthinking · 1 Hour
#anxietyrelief #calm #relaxingmusic #432hz #shorts</t>
        </is>
      </c>
      <c r="K283" s="2" t="inlineStr">
        <is>
          <t>anxiety relief, calming music, 432 hz, birds and temple bells, Rin</t>
        </is>
      </c>
      <c r="L283" s="2" t="inlineStr"/>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Music for Anxiety · Birds and Temple Bells · 432 Hz · Stop Overthinking · 1 Hour
#anxietyrelief #calm #relaxingmusic #432hz #shorts</t>
        </is>
      </c>
      <c r="K284" s="2" t="inlineStr">
        <is>
          <t>anxiety relief, calming music, 432 hz, birds and temple bells, Rin</t>
        </is>
      </c>
      <c r="L284" s="2" t="inlineStr"/>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Music for Anxiety · Birds and Temple Bells · 432 Hz · Stop Overthinking · 1 Hour
#anxietyrelief #calm #relaxingmusic #432hz #shorts</t>
        </is>
      </c>
      <c r="K285" s="2" t="inlineStr">
        <is>
          <t>anxiety relief, calming music, 432 hz, birds and temple bells, Rin</t>
        </is>
      </c>
      <c r="L285" s="2" t="inlineStr"/>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Music for Anxiety · Birds and Temple Bells · 432 Hz · Stop Overthinking · 1 Hour
#anxietyrelief #calm #relaxingmusic #432hz #shorts</t>
        </is>
      </c>
      <c r="K286" s="2" t="inlineStr">
        <is>
          <t>anxiety relief, calming music, 432 hz, birds and temple bells, Rin</t>
        </is>
      </c>
      <c r="L286" s="2" t="inlineStr"/>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Music for Anxiety · Birds and Temple Bells · 432 Hz · Stop Overthinking · 1 Hour
#anxietyrelief #calm #relaxingmusic #432hz #shorts</t>
        </is>
      </c>
      <c r="K287" s="2" t="inlineStr">
        <is>
          <t>anxiety relief, calming music, 432 hz, birds and temple bells, Rin</t>
        </is>
      </c>
      <c r="L287" s="2" t="inlineStr"/>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Music for Anxiety · Birds and Temple Bells · 432 Hz · Stop Overthinking · 1 Hour
#anxietyrelief #calm #relaxingmusic #432hz #shorts</t>
        </is>
      </c>
      <c r="K288" s="2" t="inlineStr">
        <is>
          <t>anxiety relief, calming music, 432 hz, birds and temple bells, Rin</t>
        </is>
      </c>
      <c r="L288" s="2" t="inlineStr"/>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sheetData>
  <autoFilter ref="A1:S28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COUNTA(Catálogo!A2:A42)</f>
        <v/>
      </c>
    </row>
    <row r="3">
      <c r="A3" s="7" t="inlineStr">
        <is>
          <t>Pendientes</t>
        </is>
      </c>
      <c r="B3" s="7">
        <f>COUNTIF(Catálogo!U2:U42,"pendiente")</f>
        <v/>
      </c>
    </row>
    <row r="4">
      <c r="A4" s="7" t="inlineStr">
        <is>
          <t>Compuestas</t>
        </is>
      </c>
      <c r="B4" s="7">
        <f>COUNTIF(Catálogo!U2:U42,"compuesta")</f>
        <v/>
      </c>
    </row>
    <row r="5">
      <c r="A5" s="7" t="inlineStr">
        <is>
          <t>Montadas</t>
        </is>
      </c>
      <c r="B5" s="7">
        <f>COUNTIF(Catálogo!U2:U42,"montada")</f>
        <v/>
      </c>
    </row>
    <row r="6">
      <c r="A6" s="7" t="inlineStr">
        <is>
          <t>Publicadas</t>
        </is>
      </c>
      <c r="B6" s="7">
        <f>COUNTIF(Catálogo!U2:U42,"publicada")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COUNTIF(Catálogo!D2:D42,A10)</f>
        <v/>
      </c>
      <c r="C10" s="7">
        <f>COUNTIFS(Catálogo!D2:D42,A10,Catálogo!U2:U42,"publicada")</f>
        <v/>
      </c>
      <c r="D10" s="7">
        <f>SUMIF(Catálogo!D2:D42,A10,Catálogo!R2:R42)</f>
        <v/>
      </c>
    </row>
    <row r="11">
      <c r="A11" s="7" t="inlineStr">
        <is>
          <t>Ansiedad</t>
        </is>
      </c>
      <c r="B11" s="7">
        <f>COUNTIF(Catálogo!D2:D42,A11)</f>
        <v/>
      </c>
      <c r="C11" s="7">
        <f>COUNTIFS(Catálogo!D2:D42,A11,Catálogo!U2:U42,"publicada")</f>
        <v/>
      </c>
      <c r="D11" s="7">
        <f>SUMIF(Catálogo!D2:D42,A11,Catálogo!R2:R42)</f>
        <v/>
      </c>
    </row>
    <row r="12">
      <c r="A12" s="7" t="inlineStr">
        <is>
          <t>Meditar</t>
        </is>
      </c>
      <c r="B12" s="7">
        <f>COUNTIF(Catálogo!D2:D42,A12)</f>
        <v/>
      </c>
      <c r="C12" s="7">
        <f>COUNTIFS(Catálogo!D2:D42,A12,Catálogo!U2:U42,"publicada")</f>
        <v/>
      </c>
      <c r="D12" s="7">
        <f>SUMIF(Catálogo!D2:D42,A12,Catálogo!R2:R42)</f>
        <v/>
      </c>
    </row>
    <row r="13">
      <c r="A13" s="7" t="inlineStr">
        <is>
          <t>Soltar</t>
        </is>
      </c>
      <c r="B13" s="7">
        <f>COUNTIF(Catálogo!D2:D42,A13)</f>
        <v/>
      </c>
      <c r="C13" s="7">
        <f>COUNTIFS(Catálogo!D2:D42,A13,Catálogo!U2:U42,"publicada")</f>
        <v/>
      </c>
      <c r="D13" s="7">
        <f>SUMIF(Catálogo!D2:D42,A13,Catálogo!R2:R42)</f>
        <v/>
      </c>
    </row>
    <row r="14">
      <c r="A14" s="7" t="inlineStr">
        <is>
          <t>Concentración</t>
        </is>
      </c>
      <c r="B14" s="7">
        <f>COUNTIF(Catálogo!D2:D42,A14)</f>
        <v/>
      </c>
      <c r="C14" s="7">
        <f>COUNTIFS(Catálogo!D2:D42,A14,Catálogo!U2:U42,"publicada")</f>
        <v/>
      </c>
      <c r="D14" s="7">
        <f>SUMIF(Catálogo!D2:D42,A14,Catálogo!R2:R42)</f>
        <v/>
      </c>
    </row>
    <row r="15">
      <c r="A15" s="8" t="inlineStr">
        <is>
          <t>TOTAL</t>
        </is>
      </c>
      <c r="B15" s="8">
        <f>SUM(B10:B14)</f>
        <v/>
      </c>
      <c r="C15" s="8">
        <f>SUM(C10:C14)</f>
        <v/>
      </c>
      <c r="D15" s="8">
        <f>SUM(D10:D14)</f>
        <v/>
      </c>
    </row>
    <row r="17">
      <c r="A17" s="6" t="inlineStr">
        <is>
          <t>Rendimiento</t>
        </is>
      </c>
    </row>
    <row r="18">
      <c r="A18" s="7" t="inlineStr">
        <is>
          <t>Vistas totales</t>
        </is>
      </c>
      <c r="B18" s="7">
        <f>SUM(Catálogo!W2:W42)</f>
        <v/>
      </c>
    </row>
    <row r="19">
      <c r="A19" s="7" t="inlineStr">
        <is>
          <t>Suscriptores totales</t>
        </is>
      </c>
      <c r="B19" s="7">
        <f>SUM(Catálogo!X2:X42)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o jardin.</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2026-09-26T23:26:49Z</dcterms:created>
  <dcterms:modified xsi:type="dcterms:W3CDTF">2026-09-26T23:26:49Z</dcterms:modified>
</cp:coreProperties>
</file>