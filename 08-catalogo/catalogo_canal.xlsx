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'Catálogo'!$A$1:$AA$52</definedName>
    <definedName name="_xlnm._FilterDatabase" localSheetId="1" hidden="1">'Shorts'!$A$1:$S$322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-12 --nivel-capa 2 --nivel-obra -23 --capa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-12 --nivel-capa 2 --nivel-obra -23 --capa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-12 --nivel-capa 2 --nivel-obra -23 --capa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-12 --nivel-capa 2 --nivel-obra -23 --capa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-12 --nivel-capa 2 --nivel-obra -23 --capa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-12 --nivel-capa 2 --nivel-obra -23 --capa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-12 --nivel-capa 2 --nivel-obra -23 --capa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-12 --nivel-capa 2 --nivel-obra -23 --capa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-12 --nivel-capa 2 --nivel-obra -23 --capa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-12 --nivel-capa 2 --nivel-obra -23 --capa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-12 --nivel-capa 2 --nivel-obra -23 --capa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-13 --nivel-capa 0 --nivel-obra -23 --capa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-12 --nivel-capa 2 --nivel-obra -23 --capa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is>
          <t>https://youtu.be/BeFuK1CnmII</t>
        </is>
      </c>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publicada</t>
        </is>
      </c>
      <c r="X45" s="4" t="inlineStr">
        <is>
          <t>2026-10-04</t>
        </is>
      </c>
      <c r="Y45" s="4" t="inlineStr"/>
      <c r="Z45" s="4" t="inlineStr"/>
      <c r="AA45" s="5">
        <f>IFERROR(Z45/Y45*1000,"")</f>
        <v/>
      </c>
    </row>
    <row r="46" ht="58" customHeight="1">
      <c r="A46" s="2" t="inlineStr">
        <is>
          <t>OBRA-045</t>
        </is>
      </c>
      <c r="B46" s="3" t="inlineStr">
        <is>
          <t>Woke Up at 3 AM? 🌙 Chinese Guqin &amp; Xiao Flute to Fall Back Asleep · Dark Screen · 3 Hours</t>
        </is>
      </c>
      <c r="C46" s="2" t="inlineStr">
        <is>
          <t>Música para dormir · Guqin y flauta xiao · 432 Hz · Las tres de la mañana · 3 horas</t>
        </is>
      </c>
      <c r="D46" s="2" t="inlineStr">
        <is>
          <t>Dormir</t>
        </is>
      </c>
      <c r="E46" s="2" t="inlineStr">
        <is>
          <t>guqin</t>
        </is>
      </c>
      <c r="F46" s="3" t="inlineStr">
        <is>
          <t>Woke up at 3 AM again? Three hours of Chinese guqin and xiao flute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soft harmonics are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chinese flute music,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nada --nivel-obra 0 --entrada-obra 1.5 --corte-obra 70 --intro 0.3 --cola 1</t>
        </is>
      </c>
      <c r="W46" s="4" t="inlineStr">
        <is>
          <t>pendiente</t>
        </is>
      </c>
      <c r="X46" s="4" t="inlineStr"/>
      <c r="Y46" s="4" t="inlineStr"/>
      <c r="Z46" s="4" t="inlineStr"/>
      <c r="AA46" s="5">
        <f>IFERROR(Z46/Y46*1000,"")</f>
        <v/>
      </c>
    </row>
    <row r="47" ht="58" customHeight="1">
      <c r="A47" s="2" t="inlineStr">
        <is>
          <t>OBRA-046</t>
        </is>
      </c>
      <c r="B47" s="3" t="inlineStr">
        <is>
          <t>3 AM Reset 🌙 10 Minutes of Chinese Guqin to Fall Back Asleep · Sleep Music</t>
        </is>
      </c>
      <c r="C47" s="2" t="inlineStr">
        <is>
          <t>Música para dormir · Guqin y flauta xiao · 432 Hz · Volver a dormir · 10 minutos</t>
        </is>
      </c>
      <c r="D47" s="2" t="inlineStr">
        <is>
          <t>Dormir</t>
        </is>
      </c>
      <c r="E47" s="2" t="inlineStr">
        <is>
          <t>guqin</t>
        </is>
      </c>
      <c r="F47" s="3" t="inlineStr">
        <is>
          <t>Woke up at 3 AM? Ten minutes of Chinese guqin and xiao flute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chinese flute music,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nada --nivel-obra 0 --entrada-obra 1.5 --corte-obra 70 --intro 0.3 --cola 1</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-12 --nivel-capa 2 --nivel-obra -23 --capa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 Tell us what sound you want next,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-12 --nivel-capa 2 --nivel-obra -23 --capa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-13 --nivel-capa 0 --nivel-obra -23 --capa audio/OBRA-049_capa.wav</t>
        </is>
      </c>
      <c r="W50" s="4" t="inlineStr">
        <is>
          <t>pendiente</t>
        </is>
      </c>
      <c r="X50" s="4" t="inlineStr"/>
      <c r="Y50" s="4" t="inlineStr"/>
      <c r="Z50" s="4" t="inlineStr"/>
      <c r="AA50" s="5">
        <f>IFERROR(Z50/Y50*1000,"")</f>
        <v/>
      </c>
    </row>
    <row r="51" ht="58" customHeight="1">
      <c r="A51" s="2" t="inlineStr">
        <is>
          <t>OBRA-050</t>
        </is>
      </c>
      <c r="B51" s="3" t="inlineStr">
        <is>
          <t>Brown Noise for Deep Sleep 🌙 Distant Temple Bells · Black Screen · Fall Asleep Fast · 3 Hours</t>
        </is>
      </c>
      <c r="C51" s="2" t="inlineStr">
        <is>
          <t>Música para dormir · Ruido marrón y campanas lejanas · 432 Hz · Ruido marrón · 3 horas</t>
        </is>
      </c>
      <c r="D51" s="2" t="inlineStr">
        <is>
          <t>Dormir</t>
        </is>
      </c>
      <c r="E51" s="2" t="inlineStr">
        <is>
          <t>marron</t>
        </is>
      </c>
      <c r="F51" s="3" t="inlineStr">
        <is>
          <t>Brown noise for deep sleep: low, warm and steady, with distant temple bells.
Like heavy rain on a faraway roof. No beat, no melody to follow, nothing to listen for. The screen fades to black after 3 minutes.
🌙 Lights off, phone face down, volume low. Let it cover the noise.
🌿 Subscribe for a new calm piece every week: https://www.youtube.com/@rinchanneloficial?sub_confirmation=1
Original composition by Rin, synthesized from scratch in just intonation around 216 Hz, the low octave of 432 Hz, kumoi mode. No samples.
#brownnoise #sleepsounds #darkscreen</t>
        </is>
      </c>
      <c r="G51" s="2" t="inlineStr">
        <is>
          <t>Ruido marrón · 3 horas
Para acompañar el sueño.
Ambiente: ruido marrón y campanas lejanas.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1" s="2" t="inlineStr">
        <is>
          <t>3 HOURS</t>
        </is>
      </c>
      <c r="I51" s="2" t="inlineStr">
        <is>
          <t>#brownnoise #sleepsounds #darkscreen</t>
        </is>
      </c>
      <c r="J51" s="3" t="inlineStr">
        <is>
          <t>brown noise, brown noise for sleeping, brown noise sleep, brown noise black screen, brown noise 3 hours, deep sleep, sleep sounds, black screen sleep, dark screen sleep music, fall asleep fast, temple bells, noise for sleeping, rin, ruido marrón para dormir</t>
        </is>
      </c>
      <c r="K51" s="4" t="inlineStr"/>
      <c r="L51" s="4" t="inlineStr"/>
      <c r="M51" s="2" t="n">
        <v>432</v>
      </c>
      <c r="N51" s="2" t="inlineStr">
        <is>
          <t>kumoi</t>
        </is>
      </c>
      <c r="O51" s="2" t="inlineStr">
        <is>
          <t>grave</t>
        </is>
      </c>
      <c r="P51" s="2" t="n">
        <v>36529</v>
      </c>
      <c r="Q51" s="2" t="n">
        <v>0</v>
      </c>
      <c r="R51" s="2" t="n">
        <v>180</v>
      </c>
      <c r="S51" s="2" t="n">
        <v>3</v>
      </c>
      <c r="T51" s="2" t="inlineStr">
        <is>
          <t>Brown noise or rain: which one puts you to sleep faster? 🌙 Tell us.</t>
        </is>
      </c>
      <c r="U51" s="3" t="inlineStr">
        <is>
          <t>python3 03-composicion/compositor.py --minutos 180 --raiz 432 --modo kumoi --semilla 36529 --caracter sin-cuenco --registro grave</t>
        </is>
      </c>
      <c r="V51" s="2" t="inlineStr">
        <is>
          <t>python3 03-composicion/capas.py zen 10840 audio/OBRA-050_capa.wav --semilla 36529 --raiz 432 --densidad 0.6 &amp;&amp; python3 03-composicion/ambiente.py audio/OBRA-050_432_kumoi.wav audio/OBRA-050_final.wav --fondo marron --nivel-obra -24 --nivel-capa -9 --entrada-obra 4 --capa audio/OBRA-050_capa.wav</t>
        </is>
      </c>
      <c r="W51" s="4" t="inlineStr">
        <is>
          <t>pendiente</t>
        </is>
      </c>
      <c r="X51" s="4" t="inlineStr"/>
      <c r="Y51" s="4" t="inlineStr"/>
      <c r="Z51" s="4" t="inlineStr"/>
      <c r="AA51" s="5">
        <f>IFERROR(Z51/Y51*1000,"")</f>
        <v/>
      </c>
    </row>
    <row r="52" ht="58" customHeight="1">
      <c r="A52" s="2" t="inlineStr">
        <is>
          <t>OBRA-051</t>
        </is>
      </c>
      <c r="B52" s="3" t="inlineStr">
        <is>
          <t>Pink Noise + Delta Waves for Deep Sleep 🌙 Binaural Beats · Black Screen · 3 Hours</t>
        </is>
      </c>
      <c r="C52" s="2" t="inlineStr">
        <is>
          <t>Música para dormir · Ruido rosa y ondas delta · 432 Hz · Ruido rosa y delta · 3 horas</t>
        </is>
      </c>
      <c r="D52" s="2" t="inlineStr">
        <is>
          <t>Dormir</t>
        </is>
      </c>
      <c r="E52" s="2" t="inlineStr">
        <is>
          <t>delta</t>
        </is>
      </c>
      <c r="F52" s="3" t="inlineStr">
        <is>
          <t>Pink noise with delta waves for deep sleep. 🎧 Use headphones for the best experience.
Pink noise is soft and even, like steady rain. Underneath, each ear hears a slightly different tone: the difference starts at 3 Hz and slows to 1.5 Hz, the rhythm of deep sleep. The screen fades to black after 3 minutes.
🌙 Headphones on, lights off, volume low.
🌿 Subscribe for a new calm piece every week: https://www.youtube.com/@rinchanneloficial?sub_confirmation=1
Original composition by Rin, synthesized from scratch in just intonation around 216 Hz, the low octave of 432 Hz, shin mode. No samples. Delta waves are the brain's slowest rhythm, the one of deep sleep. Not medical advice.
#pinknoise #deltawaves #deepsleep</t>
        </is>
      </c>
      <c r="G52" s="2" t="inlineStr">
        <is>
          <t>Ruido rosa y delta · 3 horas
Para acompañar el sueño.
Ambiente: ruido rosa y ondas delta.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2" s="2" t="inlineStr">
        <is>
          <t>3 HOURS</t>
        </is>
      </c>
      <c r="I52" s="2" t="inlineStr">
        <is>
          <t>#pinknoise #deltawaves #deepsleep</t>
        </is>
      </c>
      <c r="J52" s="3" t="inlineStr">
        <is>
          <t>pink noise, pink noise for sleeping, delta waves, delta waves sleep, pink noise delta waves, binaural beats, binaural beats for sleep, deep sleep, black screen sleep, sleep sounds, fall asleep fast, 3 hours, rin, ruido rosa para dormir</t>
        </is>
      </c>
      <c r="K52" s="4" t="inlineStr"/>
      <c r="L52" s="4" t="inlineStr"/>
      <c r="M52" s="2" t="n">
        <v>432</v>
      </c>
      <c r="N52" s="2" t="inlineStr">
        <is>
          <t>shin</t>
        </is>
      </c>
      <c r="O52" s="2" t="inlineStr">
        <is>
          <t>grave</t>
        </is>
      </c>
      <c r="P52" s="2" t="n">
        <v>127804</v>
      </c>
      <c r="Q52" s="2" t="n">
        <v>0</v>
      </c>
      <c r="R52" s="2" t="n">
        <v>180</v>
      </c>
      <c r="S52" s="2" t="n">
        <v>3</v>
      </c>
      <c r="T52" s="2" t="inlineStr">
        <is>
          <t>Headphones or speaker? 🎧 Tell us how far you got before falling asleep.</t>
        </is>
      </c>
      <c r="U52" s="3" t="inlineStr">
        <is>
          <t>python3 03-composicion/compositor.py --minutos 180 --raiz 432 --modo shin --semilla 127804 --caracter sin-cuenco --registro grave</t>
        </is>
      </c>
      <c r="V52" s="2" t="inlineStr">
        <is>
          <t>python3 03-composicion/capas.py delta 10840 audio/OBRA-051_capa.wav --semilla 127804 --raiz 432 &amp;&amp; python3 03-composicion/ambiente.py audio/OBRA-051_432_shin.wav audio/OBRA-051_final.wav --fondo rosa --nivel-fondo -1 --nivel-obra -22 --nivel-capa -13 --entrada-obra 4 --capa audio/OBRA-051_capa.wav</t>
        </is>
      </c>
      <c r="W52" s="4" t="inlineStr">
        <is>
          <t>pendiente</t>
        </is>
      </c>
      <c r="X52" s="4" t="inlineStr"/>
      <c r="Y52" s="4" t="inlineStr"/>
      <c r="Z52" s="4" t="inlineStr"/>
      <c r="AA52" s="5">
        <f>IFERROR(Z52/Y52*1000,"")</f>
        <v/>
      </c>
    </row>
  </sheetData>
  <autoFilter ref="A1:AA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https://youtu.be/BeFuK1CnmII
#sleepmusic #sleep #relaxingmusic #432hz #shorts</t>
        </is>
      </c>
      <c r="K299" s="2" t="inlineStr">
        <is>
          <t>sleep music, deep sleep, 432 hz, theta waves, Rin</t>
        </is>
      </c>
      <c r="L299" s="2" t="inlineStr">
        <is>
          <t>https://youtu.be/BeFuK1CnmII</t>
        </is>
      </c>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https://youtu.be/BeFuK1CnmII
#sleepmusic #sleep #relaxingmusic #432hz #shorts</t>
        </is>
      </c>
      <c r="K300" s="2" t="inlineStr">
        <is>
          <t>sleep music, deep sleep, 432 hz, theta waves, Rin</t>
        </is>
      </c>
      <c r="L300" s="2" t="inlineStr">
        <is>
          <t>https://youtu.be/BeFuK1CnmII</t>
        </is>
      </c>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https://youtu.be/BeFuK1CnmII
#sleepmusic #sleep #relaxingmusic #432hz #shorts</t>
        </is>
      </c>
      <c r="K301" s="2" t="inlineStr">
        <is>
          <t>sleep music, deep sleep, 432 hz, theta waves, Rin</t>
        </is>
      </c>
      <c r="L301" s="2" t="inlineStr">
        <is>
          <t>https://youtu.be/BeFuK1CnmII</t>
        </is>
      </c>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Xiao Flute</t>
        </is>
      </c>
      <c r="J302" s="3" t="inlineStr">
        <is>
          <t>Save this for tonight.
Full piece (3 h): Woke Up at 3 AM? 🌙 Chinese Guqin &amp; Xiao Flute to Fall Back Asleep · Dark Screen · 3 Hours
#sleepmusic #sleep #relaxingmusic #432hz #shorts</t>
        </is>
      </c>
      <c r="K302" s="2" t="inlineStr">
        <is>
          <t>sleep music, deep sleep, 432 hz, guqin and xiao flute,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Xiao Flute</t>
        </is>
      </c>
      <c r="J303" s="3" t="inlineStr">
        <is>
          <t>Lights off, volume low.
Full piece (3 h): Woke Up at 3 AM? 🌙 Chinese Guqin &amp; Xiao Flute to Fall Back Asleep · Dark Screen · 3 Hours
#sleepmusic #sleep #relaxingmusic #432hz #shorts</t>
        </is>
      </c>
      <c r="K303" s="2" t="inlineStr">
        <is>
          <t>sleep music, deep sleep, 432 hz, guqin and xiao flute,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Xiao Flute</t>
        </is>
      </c>
      <c r="J304" s="3" t="inlineStr">
        <is>
          <t>Stay until your breathing slows.
Full piece (3 h): Woke Up at 3 AM? 🌙 Chinese Guqin &amp; Xiao Flute to Fall Back Asleep · Dark Screen · 3 Hours
#sleepmusic #sleep #relaxingmusic #432hz #shorts</t>
        </is>
      </c>
      <c r="K304" s="2" t="inlineStr">
        <is>
          <t>sleep music, deep sleep, 432 hz, guqin and xiao flute,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Xiao Flute</t>
        </is>
      </c>
      <c r="J305" s="3" t="inlineStr">
        <is>
          <t>Save this for tonight.
Full piece (10 min): 3 AM Reset 🌙 10 Minutes of Chinese Guqin to Fall Back Asleep · Sleep Music
#sleepmusic #sleep #relaxingmusic #432hz #shorts</t>
        </is>
      </c>
      <c r="K305" s="2" t="inlineStr">
        <is>
          <t>sleep music, deep sleep, 432 hz, guqin and xiao flute,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Xiao Flute</t>
        </is>
      </c>
      <c r="J306" s="3" t="inlineStr">
        <is>
          <t>Lights off, volume low.
Full piece (10 min): 3 AM Reset 🌙 10 Minutes of Chinese Guqin to Fall Back Asleep · Sleep Music
#sleepmusic #sleep #relaxingmusic #432hz #shorts</t>
        </is>
      </c>
      <c r="K306" s="2" t="inlineStr">
        <is>
          <t>sleep music, deep sleep, 432 hz, guqin and xiao flute,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Xiao Flute</t>
        </is>
      </c>
      <c r="J307" s="3" t="inlineStr">
        <is>
          <t>Stay until your breathing slows.
Full piece (10 min): 3 AM Reset 🌙 10 Minutes of Chinese Guqin to Fall Back Asleep · Sleep Music
#sleepmusic #sleep #relaxingmusic #432hz #shorts</t>
        </is>
      </c>
      <c r="K307" s="2" t="inlineStr">
        <is>
          <t>sleep music, deep sleep, 432 hz, guqin and xiao flute,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row r="317" ht="58" customHeight="1">
      <c r="A317" s="2" t="inlineStr">
        <is>
          <t>OBRA-050-S1</t>
        </is>
      </c>
      <c r="B317" s="2" t="inlineStr">
        <is>
          <t>OBRA-050</t>
        </is>
      </c>
      <c r="C317" s="2" t="n">
        <v>1</v>
      </c>
      <c r="D317" s="2" t="inlineStr">
        <is>
          <t>short-1.mp4</t>
        </is>
      </c>
      <c r="E317" s="2" t="n">
        <v>90</v>
      </c>
      <c r="F317" s="2" t="n">
        <v>1</v>
      </c>
      <c r="G317" s="2" t="n">
        <v>0</v>
      </c>
      <c r="H317" s="2" t="inlineStr">
        <is>
          <t>Breathe out longer than you breathe in</t>
        </is>
      </c>
      <c r="I317" s="3" t="inlineStr">
        <is>
          <t>Breathe out longer than you breathe in · 432 Hz · Brown Noise</t>
        </is>
      </c>
      <c r="J317" s="3" t="inlineStr">
        <is>
          <t>Save this for tonight.
Full piece (3 h): Brown Noise for Deep Sleep 🌙 Distant Temple Bells · Black Screen · Fall Asleep Fast · 3 Hours
#sleepmusic #sleep #relaxingmusic #432hz #shorts</t>
        </is>
      </c>
      <c r="K317" s="2" t="inlineStr">
        <is>
          <t>sleep music, deep sleep, 432 hz, brown noise, Rin</t>
        </is>
      </c>
      <c r="L317" s="2" t="inlineStr"/>
      <c r="M317" s="2" t="inlineStr">
        <is>
          <t>432 Hz · sleep</t>
        </is>
      </c>
      <c r="N317" s="3" t="inlineStr">
        <is>
          <t>Save this for tonight. Full 3 h piece on YouTube: Rin.
#sleepmusic #sleep #relaxingmusic #432hz #meditation</t>
        </is>
      </c>
      <c r="O317" s="4" t="inlineStr">
        <is>
          <t>pendiente</t>
        </is>
      </c>
      <c r="P317" s="4" t="inlineStr"/>
      <c r="Q317" s="4" t="inlineStr"/>
      <c r="R317" s="4" t="inlineStr"/>
      <c r="S317" s="4" t="inlineStr"/>
    </row>
    <row r="318" ht="58" customHeight="1">
      <c r="A318" s="2" t="inlineStr">
        <is>
          <t>OBRA-050-S2</t>
        </is>
      </c>
      <c r="B318" s="2" t="inlineStr">
        <is>
          <t>OBRA-050</t>
        </is>
      </c>
      <c r="C318" s="2" t="n">
        <v>2</v>
      </c>
      <c r="D318" s="2" t="inlineStr">
        <is>
          <t>short-2.mp4</t>
        </is>
      </c>
      <c r="E318" s="2" t="n">
        <v>5432</v>
      </c>
      <c r="F318" s="2" t="n">
        <v>1.15</v>
      </c>
      <c r="G318" s="2" t="n">
        <v>9.6</v>
      </c>
      <c r="H318" s="2" t="inlineStr">
        <is>
          <t>Unclench your jaw. Let the pillow hold you</t>
        </is>
      </c>
      <c r="I318" s="3" t="inlineStr">
        <is>
          <t>Unclench your jaw. Let the pillow hold you · 432 Hz · Brown Noise</t>
        </is>
      </c>
      <c r="J318" s="3" t="inlineStr">
        <is>
          <t>Lights off, volume low.
Full piece (3 h): Brown Noise for Deep Sleep 🌙 Distant Temple Bells · Black Screen · Fall Asleep Fast · 3 Hours
#sleepmusic #sleep #relaxingmusic #432hz #shorts</t>
        </is>
      </c>
      <c r="K318" s="2" t="inlineStr">
        <is>
          <t>sleep music, deep sleep, 432 hz, brown noise, Rin</t>
        </is>
      </c>
      <c r="L318" s="2" t="inlineStr"/>
      <c r="M318" s="2" t="inlineStr">
        <is>
          <t>432 Hz · night</t>
        </is>
      </c>
      <c r="N318" s="3" t="inlineStr">
        <is>
          <t>Lights off, volume low. Full 3 h piece on YouTube: Rin.
#sleepmusic #sleep #relaxingmusic #432hz #meditation</t>
        </is>
      </c>
      <c r="O318" s="4" t="inlineStr">
        <is>
          <t>pendiente</t>
        </is>
      </c>
      <c r="P318" s="4" t="inlineStr"/>
      <c r="Q318" s="4" t="inlineStr"/>
      <c r="R318" s="4" t="inlineStr"/>
      <c r="S318" s="4" t="inlineStr"/>
    </row>
    <row r="319" ht="58" customHeight="1">
      <c r="A319" s="2" t="inlineStr">
        <is>
          <t>OBRA-050-S3</t>
        </is>
      </c>
      <c r="B319" s="2" t="inlineStr">
        <is>
          <t>OBRA-050</t>
        </is>
      </c>
      <c r="C319" s="2" t="n">
        <v>3</v>
      </c>
      <c r="D319" s="2" t="inlineStr">
        <is>
          <t>short-3.mp4</t>
        </is>
      </c>
      <c r="E319" s="2" t="n">
        <v>10775</v>
      </c>
      <c r="F319" s="2" t="n">
        <v>1.3</v>
      </c>
      <c r="G319" s="2" t="n">
        <v>19.2</v>
      </c>
      <c r="H319" s="2" t="inlineStr">
        <is>
          <t>Close your eyes. Just listen</t>
        </is>
      </c>
      <c r="I319" s="3" t="inlineStr">
        <is>
          <t>Close your eyes. Just listen · 432 Hz · Brown Noise</t>
        </is>
      </c>
      <c r="J319" s="3" t="inlineStr">
        <is>
          <t>Stay until your breathing slows.
Full piece (3 h): Brown Noise for Deep Sleep 🌙 Distant Temple Bells · Black Screen · Fall Asleep Fast · 3 Hours
#sleepmusic #sleep #relaxingmusic #432hz #shorts</t>
        </is>
      </c>
      <c r="K319" s="2" t="inlineStr">
        <is>
          <t>sleep music, deep sleep, 432 hz, brown noise, Rin</t>
        </is>
      </c>
      <c r="L319" s="2" t="inlineStr"/>
      <c r="M319" s="2" t="inlineStr">
        <is>
          <t>432 Hz · rest</t>
        </is>
      </c>
      <c r="N319" s="3" t="inlineStr">
        <is>
          <t>Stay until your breathing slows. Full 3 h piece on YouTube: Rin.
#sleepmusic #sleep #relaxingmusic #432hz #meditation</t>
        </is>
      </c>
      <c r="O319" s="4" t="inlineStr">
        <is>
          <t>pendiente</t>
        </is>
      </c>
      <c r="P319" s="4" t="inlineStr"/>
      <c r="Q319" s="4" t="inlineStr"/>
      <c r="R319" s="4" t="inlineStr"/>
      <c r="S319" s="4" t="inlineStr"/>
    </row>
    <row r="320" ht="58" customHeight="1">
      <c r="A320" s="2" t="inlineStr">
        <is>
          <t>OBRA-051-S1</t>
        </is>
      </c>
      <c r="B320" s="2" t="inlineStr">
        <is>
          <t>OBRA-051</t>
        </is>
      </c>
      <c r="C320" s="2" t="n">
        <v>1</v>
      </c>
      <c r="D320" s="2" t="inlineStr">
        <is>
          <t>short-1.mp4</t>
        </is>
      </c>
      <c r="E320" s="2" t="n">
        <v>90</v>
      </c>
      <c r="F320" s="2" t="n">
        <v>1</v>
      </c>
      <c r="G320" s="2" t="n">
        <v>0</v>
      </c>
      <c r="H320" s="2" t="inlineStr">
        <is>
          <t>Breathe out longer than you breathe in</t>
        </is>
      </c>
      <c r="I320" s="3" t="inlineStr">
        <is>
          <t>Breathe out longer than you breathe in · 432 Hz · Pink Noise and Delta Waves</t>
        </is>
      </c>
      <c r="J320" s="3" t="inlineStr">
        <is>
          <t>Save this for tonight.
Full piece (3 h): Pink Noise + Delta Waves for Deep Sleep 🌙 Binaural Beats · Black Screen · 3 Hours
#sleepmusic #sleep #relaxingmusic #432hz #shorts</t>
        </is>
      </c>
      <c r="K320" s="2" t="inlineStr">
        <is>
          <t>sleep music, deep sleep, 432 hz, pink noise and delta waves, Rin</t>
        </is>
      </c>
      <c r="L320" s="2" t="inlineStr"/>
      <c r="M320" s="2" t="inlineStr">
        <is>
          <t>432 Hz · sleep</t>
        </is>
      </c>
      <c r="N320" s="3" t="inlineStr">
        <is>
          <t>Save this for tonight. Full 3 h piece on YouTube: Rin.
#sleepmusic #sleep #relaxingmusic #432hz #meditation</t>
        </is>
      </c>
      <c r="O320" s="4" t="inlineStr">
        <is>
          <t>pendiente</t>
        </is>
      </c>
      <c r="P320" s="4" t="inlineStr"/>
      <c r="Q320" s="4" t="inlineStr"/>
      <c r="R320" s="4" t="inlineStr"/>
      <c r="S320" s="4" t="inlineStr"/>
    </row>
    <row r="321" ht="58" customHeight="1">
      <c r="A321" s="2" t="inlineStr">
        <is>
          <t>OBRA-051-S2</t>
        </is>
      </c>
      <c r="B321" s="2" t="inlineStr">
        <is>
          <t>OBRA-051</t>
        </is>
      </c>
      <c r="C321" s="2" t="n">
        <v>2</v>
      </c>
      <c r="D321" s="2" t="inlineStr">
        <is>
          <t>short-2.mp4</t>
        </is>
      </c>
      <c r="E321" s="2" t="n">
        <v>5432</v>
      </c>
      <c r="F321" s="2" t="n">
        <v>1.15</v>
      </c>
      <c r="G321" s="2" t="n">
        <v>9.6</v>
      </c>
      <c r="H321" s="2" t="inlineStr">
        <is>
          <t>Unclench your jaw. Let the pillow hold you</t>
        </is>
      </c>
      <c r="I321" s="3" t="inlineStr">
        <is>
          <t>Unclench your jaw. Let the pillow hold you · 432 Hz · Pink Noise and Delta Waves</t>
        </is>
      </c>
      <c r="J321" s="3" t="inlineStr">
        <is>
          <t>Lights off, volume low.
Full piece (3 h): Pink Noise + Delta Waves for Deep Sleep 🌙 Binaural Beats · Black Screen · 3 Hours
#sleepmusic #sleep #relaxingmusic #432hz #shorts</t>
        </is>
      </c>
      <c r="K321" s="2" t="inlineStr">
        <is>
          <t>sleep music, deep sleep, 432 hz, pink noise and delta waves, Rin</t>
        </is>
      </c>
      <c r="L321" s="2" t="inlineStr"/>
      <c r="M321" s="2" t="inlineStr">
        <is>
          <t>432 Hz · night</t>
        </is>
      </c>
      <c r="N321" s="3" t="inlineStr">
        <is>
          <t>Lights off, volume low. Full 3 h piece on YouTube: Rin.
#sleepmusic #sleep #relaxingmusic #432hz #meditation</t>
        </is>
      </c>
      <c r="O321" s="4" t="inlineStr">
        <is>
          <t>pendiente</t>
        </is>
      </c>
      <c r="P321" s="4" t="inlineStr"/>
      <c r="Q321" s="4" t="inlineStr"/>
      <c r="R321" s="4" t="inlineStr"/>
      <c r="S321" s="4" t="inlineStr"/>
    </row>
    <row r="322" ht="58" customHeight="1">
      <c r="A322" s="2" t="inlineStr">
        <is>
          <t>OBRA-051-S3</t>
        </is>
      </c>
      <c r="B322" s="2" t="inlineStr">
        <is>
          <t>OBRA-051</t>
        </is>
      </c>
      <c r="C322" s="2" t="n">
        <v>3</v>
      </c>
      <c r="D322" s="2" t="inlineStr">
        <is>
          <t>short-3.mp4</t>
        </is>
      </c>
      <c r="E322" s="2" t="n">
        <v>10775</v>
      </c>
      <c r="F322" s="2" t="n">
        <v>1.3</v>
      </c>
      <c r="G322" s="2" t="n">
        <v>19.2</v>
      </c>
      <c r="H322" s="2" t="inlineStr">
        <is>
          <t>Close your eyes. Just listen</t>
        </is>
      </c>
      <c r="I322" s="3" t="inlineStr">
        <is>
          <t>Close your eyes. Just listen · 432 Hz · Pink Noise and Delta Waves</t>
        </is>
      </c>
      <c r="J322" s="3" t="inlineStr">
        <is>
          <t>Stay until your breathing slows.
Full piece (3 h): Pink Noise + Delta Waves for Deep Sleep 🌙 Binaural Beats · Black Screen · 3 Hours
#sleepmusic #sleep #relaxingmusic #432hz #shorts</t>
        </is>
      </c>
      <c r="K322" s="2" t="inlineStr">
        <is>
          <t>sleep music, deep sleep, 432 hz, pink noise and delta waves, Rin</t>
        </is>
      </c>
      <c r="L322" s="2" t="inlineStr"/>
      <c r="M322" s="2" t="inlineStr">
        <is>
          <t>432 Hz · rest</t>
        </is>
      </c>
      <c r="N322" s="3" t="inlineStr">
        <is>
          <t>Stay until your breathing slows. Full 3 h piece on YouTube: Rin.
#sleepmusic #sleep #relaxingmusic #432hz #meditation</t>
        </is>
      </c>
      <c r="O322" s="4" t="inlineStr">
        <is>
          <t>pendiente</t>
        </is>
      </c>
      <c r="P322" s="4" t="inlineStr"/>
      <c r="Q322" s="4" t="inlineStr"/>
      <c r="R322" s="4" t="inlineStr"/>
      <c r="S322" s="4" t="inlineStr"/>
    </row>
  </sheetData>
  <autoFilter ref="A1:S3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COUNTA(Catálogo!A2:A52)</f>
        <v/>
      </c>
    </row>
    <row r="3">
      <c r="A3" s="7" t="inlineStr">
        <is>
          <t>Pendientes</t>
        </is>
      </c>
      <c r="B3" s="7">
        <f>COUNTIF(Catálogo!W2:W52,"pendiente")</f>
        <v/>
      </c>
    </row>
    <row r="4">
      <c r="A4" s="7" t="inlineStr">
        <is>
          <t>Compuestas</t>
        </is>
      </c>
      <c r="B4" s="7">
        <f>COUNTIF(Catálogo!W2:W52,"compuesta")</f>
        <v/>
      </c>
    </row>
    <row r="5">
      <c r="A5" s="7" t="inlineStr">
        <is>
          <t>Montadas</t>
        </is>
      </c>
      <c r="B5" s="7">
        <f>COUNTIF(Catálogo!W2:W52,"montada")</f>
        <v/>
      </c>
    </row>
    <row r="6">
      <c r="A6" s="7" t="inlineStr">
        <is>
          <t>Publicadas</t>
        </is>
      </c>
      <c r="B6" s="7">
        <f>COUNTIF(Catálogo!W2:W52,"publicada")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COUNTIF(Catálogo!D2:D52,A10)</f>
        <v/>
      </c>
      <c r="C10" s="7">
        <f>COUNTIFS(Catálogo!D2:D52,A10,Catálogo!W2:W52,"publicada")</f>
        <v/>
      </c>
      <c r="D10" s="7">
        <f>SUMIF(Catálogo!D2:D52,A10,Catálogo!R2:R52)</f>
        <v/>
      </c>
    </row>
    <row r="11">
      <c r="A11" s="7" t="inlineStr">
        <is>
          <t>Ansiedad</t>
        </is>
      </c>
      <c r="B11" s="7">
        <f>COUNTIF(Catálogo!D2:D52,A11)</f>
        <v/>
      </c>
      <c r="C11" s="7">
        <f>COUNTIFS(Catálogo!D2:D52,A11,Catálogo!W2:W52,"publicada")</f>
        <v/>
      </c>
      <c r="D11" s="7">
        <f>SUMIF(Catálogo!D2:D52,A11,Catálogo!R2:R52)</f>
        <v/>
      </c>
    </row>
    <row r="12">
      <c r="A12" s="7" t="inlineStr">
        <is>
          <t>Meditar</t>
        </is>
      </c>
      <c r="B12" s="7">
        <f>COUNTIF(Catálogo!D2:D52,A12)</f>
        <v/>
      </c>
      <c r="C12" s="7">
        <f>COUNTIFS(Catálogo!D2:D52,A12,Catálogo!W2:W52,"publicada")</f>
        <v/>
      </c>
      <c r="D12" s="7">
        <f>SUMIF(Catálogo!D2:D52,A12,Catálogo!R2:R52)</f>
        <v/>
      </c>
    </row>
    <row r="13">
      <c r="A13" s="7" t="inlineStr">
        <is>
          <t>Soltar</t>
        </is>
      </c>
      <c r="B13" s="7">
        <f>COUNTIF(Catálogo!D2:D52,A13)</f>
        <v/>
      </c>
      <c r="C13" s="7">
        <f>COUNTIFS(Catálogo!D2:D52,A13,Catálogo!W2:W52,"publicada")</f>
        <v/>
      </c>
      <c r="D13" s="7">
        <f>SUMIF(Catálogo!D2:D52,A13,Catálogo!R2:R52)</f>
        <v/>
      </c>
    </row>
    <row r="14">
      <c r="A14" s="7" t="inlineStr">
        <is>
          <t>Concentración</t>
        </is>
      </c>
      <c r="B14" s="7">
        <f>COUNTIF(Catálogo!D2:D52,A14)</f>
        <v/>
      </c>
      <c r="C14" s="7">
        <f>COUNTIFS(Catálogo!D2:D52,A14,Catálogo!W2:W52,"publicada")</f>
        <v/>
      </c>
      <c r="D14" s="7">
        <f>SUMIF(Catálogo!D2:D52,A14,Catálogo!R2:R52)</f>
        <v/>
      </c>
    </row>
    <row r="15">
      <c r="A15" s="8" t="inlineStr">
        <is>
          <t>TOTAL</t>
        </is>
      </c>
      <c r="B15" s="8">
        <f>SUM(B10:B14)</f>
        <v/>
      </c>
      <c r="C15" s="8">
        <f>SUM(C10:C14)</f>
        <v/>
      </c>
      <c r="D15" s="8">
        <f>SUM(D10:D14)</f>
        <v/>
      </c>
    </row>
    <row r="17">
      <c r="A17" s="6" t="inlineStr">
        <is>
          <t>Rendimiento</t>
        </is>
      </c>
    </row>
    <row r="18">
      <c r="A18" s="7" t="inlineStr">
        <is>
          <t>Vistas totales</t>
        </is>
      </c>
      <c r="B18" s="7">
        <f>SUM(Catálogo!Y2:Y52)</f>
        <v/>
      </c>
    </row>
    <row r="19">
      <c r="A19" s="7" t="inlineStr">
        <is>
          <t>Suscriptores totales</t>
        </is>
      </c>
      <c r="B19" s="7">
        <f>SUM(Catálogo!Z2:Z52)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guqin, marron o delta.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2026-10-06T04:37:59Z</dcterms:created>
  <dcterms:modified xsi:type="dcterms:W3CDTF">2026-10-06T04:37:59Z</dcterms:modified>
</cp:coreProperties>
</file>